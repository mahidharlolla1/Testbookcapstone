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IDHAR\Desktop\"/>
    </mc:Choice>
  </mc:AlternateContent>
  <bookViews>
    <workbookView xWindow="0" yWindow="0" windowWidth="23040" windowHeight="9192" firstSheet="1" activeTab="1"/>
  </bookViews>
  <sheets>
    <sheet name="Dataset" sheetId="6" r:id="rId1"/>
    <sheet name="Statistical Analysis" sheetId="7" r:id="rId2"/>
    <sheet name="Graphical Analysis" sheetId="20" r:id="rId3"/>
    <sheet name="Sactter plot data" sheetId="29" r:id="rId4"/>
    <sheet name="Histogram Bins" sheetId="19" r:id="rId5"/>
    <sheet name="Heat Map Data" sheetId="24" r:id="rId6"/>
    <sheet name="Year wise sales &amp; profits data" sheetId="26" r:id="rId7"/>
  </sheets>
  <definedNames>
    <definedName name="_xlnm._FilterDatabase" localSheetId="1" hidden="1">'Statistical Analysis'!$F$4:$J$11</definedName>
    <definedName name="_xlchart.0" hidden="1">Dataset!$B$2:$B$701</definedName>
    <definedName name="_xlchart.1" hidden="1">Dataset!$L$1</definedName>
    <definedName name="_xlchart.2" hidden="1">Dataset!$L$2:$L$701</definedName>
  </definedName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7" l="1"/>
  <c r="N7" i="7"/>
  <c r="N6" i="7"/>
  <c r="N5" i="7"/>
  <c r="N4" i="7"/>
  <c r="F17" i="7"/>
  <c r="F16" i="7"/>
  <c r="I4" i="7"/>
  <c r="F4" i="7"/>
  <c r="H11" i="7"/>
  <c r="J11" i="7"/>
  <c r="I11" i="7"/>
  <c r="G11" i="7"/>
  <c r="F11" i="7"/>
  <c r="J10" i="7"/>
  <c r="I10" i="7"/>
  <c r="H10" i="7"/>
  <c r="G10" i="7"/>
  <c r="F10" i="7"/>
  <c r="J9" i="7"/>
  <c r="I9" i="7"/>
  <c r="H9" i="7"/>
  <c r="G9" i="7"/>
  <c r="F9" i="7"/>
  <c r="J8" i="7"/>
  <c r="I8" i="7"/>
  <c r="H8" i="7"/>
  <c r="G8" i="7"/>
  <c r="F8" i="7"/>
  <c r="J7" i="7"/>
  <c r="I7" i="7"/>
  <c r="H7" i="7"/>
  <c r="G7" i="7"/>
  <c r="F7" i="7"/>
  <c r="J6" i="7"/>
  <c r="I6" i="7"/>
  <c r="H6" i="7"/>
  <c r="G6" i="7"/>
  <c r="F6" i="7"/>
  <c r="J5" i="7"/>
  <c r="I5" i="7"/>
  <c r="H5" i="7"/>
  <c r="G5" i="7"/>
  <c r="F5" i="7"/>
  <c r="J4" i="7"/>
  <c r="H4" i="7"/>
  <c r="G4" i="7"/>
  <c r="G13" i="7" l="1"/>
  <c r="F18" i="7"/>
  <c r="F19" i="7" s="1"/>
  <c r="F20" i="7" l="1"/>
</calcChain>
</file>

<file path=xl/sharedStrings.xml><?xml version="1.0" encoding="utf-8"?>
<sst xmlns="http://schemas.openxmlformats.org/spreadsheetml/2006/main" count="5766" uniqueCount="129">
  <si>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</si>
  <si>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</si>
  <si>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</si>
  <si>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</si>
  <si>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</si>
  <si>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</si>
  <si>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</si>
  <si>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</si>
  <si>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</si>
  <si>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</si>
  <si>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</si>
  <si>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</si>
  <si>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</si>
  <si>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</si>
  <si>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</si>
  <si>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</si>
  <si>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</si>
  <si>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</si>
  <si>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</si>
  <si>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</si>
  <si>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</si>
  <si>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</si>
  <si>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</si>
  <si>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</si>
  <si>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</si>
  <si>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</si>
  <si>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</si>
  <si>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</si>
  <si>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</si>
  <si>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</si>
  <si>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</si>
  <si>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</si>
  <si>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</si>
  <si>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</si>
  <si>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</si>
  <si>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</si>
  <si>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</si>
  <si>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</si>
  <si>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</si>
  <si>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</si>
  <si>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</si>
  <si>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</si>
  <si>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</si>
  <si>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</si>
  <si>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</si>
  <si>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</si>
  <si>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</si>
  <si>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</si>
  <si>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</si>
  <si>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 xml:space="preserve">Numerical Data column name </t>
  </si>
  <si>
    <t xml:space="preserve">Average </t>
  </si>
  <si>
    <t>Median</t>
  </si>
  <si>
    <t xml:space="preserve">Minimum  </t>
  </si>
  <si>
    <t>Maximum</t>
  </si>
  <si>
    <t>Std Dev</t>
  </si>
  <si>
    <t>Sales Price</t>
  </si>
  <si>
    <t>Discount</t>
  </si>
  <si>
    <t>Sales</t>
  </si>
  <si>
    <t>Row Labels</t>
  </si>
  <si>
    <t>Grand Total</t>
  </si>
  <si>
    <t xml:space="preserve">Range of Units sold </t>
  </si>
  <si>
    <t>Quartile 1(25th Percentile)</t>
  </si>
  <si>
    <t>Quartile 3(27th Percentile)</t>
  </si>
  <si>
    <t>IQR</t>
  </si>
  <si>
    <t>Lowest permissible value</t>
  </si>
  <si>
    <t>Highest permissible value</t>
  </si>
  <si>
    <t xml:space="preserve">Unit sold IQR </t>
  </si>
  <si>
    <t>Correlation Sales vs Profits</t>
  </si>
  <si>
    <t>Correlation Units vs Profit</t>
  </si>
  <si>
    <t>Correlation Units vs Sales</t>
  </si>
  <si>
    <t>Correlation Discount vs profits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</si>
  <si>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</si>
  <si>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</si>
  <si>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</si>
  <si>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</si>
  <si>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</si>
  <si>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</si>
  <si>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</si>
  <si>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</si>
  <si>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</si>
  <si>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</si>
  <si>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</si>
  <si>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</si>
  <si>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</si>
  <si>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</si>
  <si>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</si>
  <si>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</si>
  <si>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</si>
  <si>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</si>
  <si>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</si>
  <si>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</si>
  <si>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</si>
  <si>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</si>
  <si>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</si>
  <si>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</si>
  <si>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</si>
  <si>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Bin</t>
  </si>
  <si>
    <t>More</t>
  </si>
  <si>
    <t>Frequency</t>
  </si>
  <si>
    <t>Sum of Profit</t>
  </si>
  <si>
    <t>Mean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</si>
  <si>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</si>
  <si>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</si>
  <si>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</si>
  <si>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</si>
  <si>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</si>
  <si>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</si>
  <si>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</si>
  <si>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USA Sales</t>
  </si>
  <si>
    <t>Canada Sales</t>
  </si>
  <si>
    <t>Sum of  Sales</t>
  </si>
  <si>
    <t>Sum of Units Sold</t>
  </si>
  <si>
    <t>Sum of Gross Sales</t>
  </si>
  <si>
    <t>Sum of Sale Price</t>
  </si>
  <si>
    <t xml:space="preserve">Statistical Analysis </t>
  </si>
  <si>
    <t>1. Descriptive Statistics</t>
  </si>
  <si>
    <t>2. Correlation Analysis</t>
  </si>
  <si>
    <t>3. SUMMARY OUTPUT- Regression Analysis</t>
  </si>
  <si>
    <t>4. t-Test: Two-Sample Assuming Equal Variances</t>
  </si>
  <si>
    <t>5. Distribution Analysis Using Histogram</t>
  </si>
  <si>
    <t>Graphical Analysis</t>
  </si>
  <si>
    <t>1. Total Sales and Profit by Country</t>
  </si>
  <si>
    <t>2. Total Units Sold by Segment</t>
  </si>
  <si>
    <t>3. Sum of Sales and Profit by Product Category</t>
  </si>
  <si>
    <t>4.Box plot to compare Profit distribution between USA and Canada</t>
  </si>
  <si>
    <t>5. Units Sold vs Sales Scatter Plot</t>
  </si>
  <si>
    <t>6. Profits vs Sales Scatter Plot</t>
  </si>
  <si>
    <t>7. Heat Map</t>
  </si>
  <si>
    <t>8. Pivot table and chart sum of sales and profits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</si>
</sst>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m/d/yy\ h:mm;@"/>
    <numFmt numFmtId="166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0" applyNumberFormat="1"/>
    <xf numFmtId="0" fontId="0" fillId="2" borderId="0" xfId="0" applyFill="1"/>
    <xf numFmtId="0" fontId="0" fillId="3" borderId="0" xfId="0" applyFont="1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3" fillId="0" borderId="2" xfId="0" applyFont="1" applyFill="1" applyBorder="1" applyAlignment="1">
      <alignment horizontal="centerContinuous"/>
    </xf>
    <xf numFmtId="164" fontId="0" fillId="0" borderId="3" xfId="1" applyNumberFormat="1" applyFont="1" applyBorder="1"/>
    <xf numFmtId="164" fontId="0" fillId="0" borderId="4" xfId="1" applyNumberFormat="1" applyFont="1" applyBorder="1"/>
    <xf numFmtId="164" fontId="4" fillId="5" borderId="3" xfId="1" applyNumberFormat="1" applyFont="1" applyFill="1" applyBorder="1"/>
    <xf numFmtId="14" fontId="4" fillId="5" borderId="3" xfId="1" applyNumberFormat="1" applyFont="1" applyFill="1" applyBorder="1"/>
    <xf numFmtId="14" fontId="0" fillId="0" borderId="3" xfId="1" applyNumberFormat="1" applyFont="1" applyBorder="1"/>
    <xf numFmtId="14" fontId="0" fillId="0" borderId="4" xfId="1" applyNumberFormat="1" applyFont="1" applyBorder="1"/>
    <xf numFmtId="2" fontId="4" fillId="5" borderId="5" xfId="1" applyNumberFormat="1" applyFont="1" applyFill="1" applyBorder="1"/>
    <xf numFmtId="2" fontId="0" fillId="0" borderId="5" xfId="1" applyNumberFormat="1" applyFont="1" applyBorder="1"/>
    <xf numFmtId="2" fontId="0" fillId="0" borderId="6" xfId="1" applyNumberFormat="1" applyFont="1" applyBorder="1"/>
    <xf numFmtId="2" fontId="0" fillId="0" borderId="0" xfId="0" applyNumberFormat="1"/>
    <xf numFmtId="0" fontId="0" fillId="0" borderId="0" xfId="0" applyAlignment="1">
      <alignment horizontal="left" inden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19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'Histogram Bins'!$A$2:$A$1025</c:f>
              <c:strCache>
                <c:ptCount val="1024"/>
                <c:pt idx="0">
                  <c:v>1655.08</c:v>
                </c:pt>
                <c:pt idx="1">
                  <c:v>2786.599961</c:v>
                </c:pt>
                <c:pt idx="2">
                  <c:v>3918.119922</c:v>
                </c:pt>
                <c:pt idx="3">
                  <c:v>5049.639883</c:v>
                </c:pt>
                <c:pt idx="4">
                  <c:v>6181.159844</c:v>
                </c:pt>
                <c:pt idx="5">
                  <c:v>7312.679804</c:v>
                </c:pt>
                <c:pt idx="6">
                  <c:v>8444.199765</c:v>
                </c:pt>
                <c:pt idx="7">
                  <c:v>9575.719726</c:v>
                </c:pt>
                <c:pt idx="8">
                  <c:v>10707.23969</c:v>
                </c:pt>
                <c:pt idx="9">
                  <c:v>11838.75965</c:v>
                </c:pt>
                <c:pt idx="10">
                  <c:v>12970.27961</c:v>
                </c:pt>
                <c:pt idx="11">
                  <c:v>14101.79957</c:v>
                </c:pt>
                <c:pt idx="12">
                  <c:v>15233.31953</c:v>
                </c:pt>
                <c:pt idx="13">
                  <c:v>16364.83949</c:v>
                </c:pt>
                <c:pt idx="14">
                  <c:v>17496.35945</c:v>
                </c:pt>
                <c:pt idx="15">
                  <c:v>18627.87941</c:v>
                </c:pt>
                <c:pt idx="16">
                  <c:v>19759.39937</c:v>
                </c:pt>
                <c:pt idx="17">
                  <c:v>20890.91934</c:v>
                </c:pt>
                <c:pt idx="18">
                  <c:v>22022.4393</c:v>
                </c:pt>
                <c:pt idx="19">
                  <c:v>23153.95926</c:v>
                </c:pt>
                <c:pt idx="20">
                  <c:v>24285.47922</c:v>
                </c:pt>
                <c:pt idx="21">
                  <c:v>25416.99918</c:v>
                </c:pt>
                <c:pt idx="22">
                  <c:v>26548.51914</c:v>
                </c:pt>
                <c:pt idx="23">
                  <c:v>27680.0391</c:v>
                </c:pt>
                <c:pt idx="24">
                  <c:v>28811.55906</c:v>
                </c:pt>
                <c:pt idx="25">
                  <c:v>29943.07902</c:v>
                </c:pt>
                <c:pt idx="26">
                  <c:v>31074.59898</c:v>
                </c:pt>
                <c:pt idx="27">
                  <c:v>32206.11894</c:v>
                </c:pt>
                <c:pt idx="28">
                  <c:v>33337.63891</c:v>
                </c:pt>
                <c:pt idx="29">
                  <c:v>34469.15887</c:v>
                </c:pt>
                <c:pt idx="30">
                  <c:v>35600.67883</c:v>
                </c:pt>
                <c:pt idx="31">
                  <c:v>36732.19879</c:v>
                </c:pt>
                <c:pt idx="32">
                  <c:v>37863.71875</c:v>
                </c:pt>
                <c:pt idx="33">
                  <c:v>38995.23871</c:v>
                </c:pt>
                <c:pt idx="34">
                  <c:v>40126.75867</c:v>
                </c:pt>
                <c:pt idx="35">
                  <c:v>41258.27863</c:v>
                </c:pt>
                <c:pt idx="36">
                  <c:v>42389.79859</c:v>
                </c:pt>
                <c:pt idx="37">
                  <c:v>43521.31855</c:v>
                </c:pt>
                <c:pt idx="38">
                  <c:v>44652.83851</c:v>
                </c:pt>
                <c:pt idx="39">
                  <c:v>45784.35848</c:v>
                </c:pt>
                <c:pt idx="40">
                  <c:v>46915.87844</c:v>
                </c:pt>
                <c:pt idx="41">
                  <c:v>48047.3984</c:v>
                </c:pt>
                <c:pt idx="42">
                  <c:v>49178.91836</c:v>
                </c:pt>
                <c:pt idx="43">
                  <c:v>50310.43832</c:v>
                </c:pt>
                <c:pt idx="44">
                  <c:v>51441.95828</c:v>
                </c:pt>
                <c:pt idx="45">
                  <c:v>52573.47824</c:v>
                </c:pt>
                <c:pt idx="46">
                  <c:v>53704.9982</c:v>
                </c:pt>
                <c:pt idx="47">
                  <c:v>54836.51816</c:v>
                </c:pt>
                <c:pt idx="48">
                  <c:v>55968.03812</c:v>
                </c:pt>
                <c:pt idx="49">
                  <c:v>57099.55808</c:v>
                </c:pt>
                <c:pt idx="50">
                  <c:v>58231.07804</c:v>
                </c:pt>
                <c:pt idx="51">
                  <c:v>59362.59801</c:v>
                </c:pt>
                <c:pt idx="52">
                  <c:v>60494.11797</c:v>
                </c:pt>
                <c:pt idx="53">
                  <c:v>61625.63793</c:v>
                </c:pt>
                <c:pt idx="54">
                  <c:v>62757.15789</c:v>
                </c:pt>
                <c:pt idx="55">
                  <c:v>63888.67785</c:v>
                </c:pt>
                <c:pt idx="56">
                  <c:v>65020.19781</c:v>
                </c:pt>
                <c:pt idx="57">
                  <c:v>66151.71777</c:v>
                </c:pt>
                <c:pt idx="58">
                  <c:v>67283.23773</c:v>
                </c:pt>
                <c:pt idx="59">
                  <c:v>68414.75769</c:v>
                </c:pt>
                <c:pt idx="60">
                  <c:v>69546.27765</c:v>
                </c:pt>
                <c:pt idx="61">
                  <c:v>70677.79761</c:v>
                </c:pt>
                <c:pt idx="62">
                  <c:v>71809.31758</c:v>
                </c:pt>
                <c:pt idx="63">
                  <c:v>72940.83754</c:v>
                </c:pt>
                <c:pt idx="64">
                  <c:v>74072.3575</c:v>
                </c:pt>
                <c:pt idx="65">
                  <c:v>75203.87746</c:v>
                </c:pt>
                <c:pt idx="66">
                  <c:v>76335.39742</c:v>
                </c:pt>
                <c:pt idx="67">
                  <c:v>77466.91738</c:v>
                </c:pt>
                <c:pt idx="68">
                  <c:v>78598.43734</c:v>
                </c:pt>
                <c:pt idx="69">
                  <c:v>79729.9573</c:v>
                </c:pt>
                <c:pt idx="70">
                  <c:v>80861.47726</c:v>
                </c:pt>
                <c:pt idx="71">
                  <c:v>81992.99722</c:v>
                </c:pt>
                <c:pt idx="72">
                  <c:v>83124.51718</c:v>
                </c:pt>
                <c:pt idx="73">
                  <c:v>84256.03715</c:v>
                </c:pt>
                <c:pt idx="74">
                  <c:v>85387.55711</c:v>
                </c:pt>
                <c:pt idx="75">
                  <c:v>86519.07707</c:v>
                </c:pt>
                <c:pt idx="76">
                  <c:v>87650.59703</c:v>
                </c:pt>
                <c:pt idx="77">
                  <c:v>88782.11699</c:v>
                </c:pt>
                <c:pt idx="78">
                  <c:v>89913.63695</c:v>
                </c:pt>
                <c:pt idx="79">
                  <c:v>91045.15691</c:v>
                </c:pt>
                <c:pt idx="80">
                  <c:v>92176.67687</c:v>
                </c:pt>
                <c:pt idx="81">
                  <c:v>93308.19683</c:v>
                </c:pt>
                <c:pt idx="82">
                  <c:v>94439.71679</c:v>
                </c:pt>
                <c:pt idx="83">
                  <c:v>95571.23675</c:v>
                </c:pt>
                <c:pt idx="84">
                  <c:v>96702.75672</c:v>
                </c:pt>
                <c:pt idx="85">
                  <c:v>97834.27668</c:v>
                </c:pt>
                <c:pt idx="86">
                  <c:v>98965.79664</c:v>
                </c:pt>
                <c:pt idx="87">
                  <c:v>100097.3166</c:v>
                </c:pt>
                <c:pt idx="88">
                  <c:v>101228.8366</c:v>
                </c:pt>
                <c:pt idx="89">
                  <c:v>102360.3565</c:v>
                </c:pt>
                <c:pt idx="90">
                  <c:v>103491.8765</c:v>
                </c:pt>
                <c:pt idx="91">
                  <c:v>104623.3964</c:v>
                </c:pt>
                <c:pt idx="92">
                  <c:v>105754.9164</c:v>
                </c:pt>
                <c:pt idx="93">
                  <c:v>106886.4364</c:v>
                </c:pt>
                <c:pt idx="94">
                  <c:v>108017.9563</c:v>
                </c:pt>
                <c:pt idx="95">
                  <c:v>109149.4763</c:v>
                </c:pt>
                <c:pt idx="96">
                  <c:v>110280.9962</c:v>
                </c:pt>
                <c:pt idx="97">
                  <c:v>111412.5162</c:v>
                </c:pt>
                <c:pt idx="98">
                  <c:v>112544.0362</c:v>
                </c:pt>
                <c:pt idx="99">
                  <c:v>113675.5561</c:v>
                </c:pt>
                <c:pt idx="100">
                  <c:v>114807.0761</c:v>
                </c:pt>
                <c:pt idx="101">
                  <c:v>115938.5961</c:v>
                </c:pt>
                <c:pt idx="102">
                  <c:v>117070.116</c:v>
                </c:pt>
                <c:pt idx="103">
                  <c:v>118201.636</c:v>
                </c:pt>
                <c:pt idx="104">
                  <c:v>119333.1559</c:v>
                </c:pt>
                <c:pt idx="105">
                  <c:v>120464.6759</c:v>
                </c:pt>
                <c:pt idx="106">
                  <c:v>121596.1959</c:v>
                </c:pt>
                <c:pt idx="107">
                  <c:v>122727.7158</c:v>
                </c:pt>
                <c:pt idx="108">
                  <c:v>123859.2358</c:v>
                </c:pt>
                <c:pt idx="109">
                  <c:v>124990.7557</c:v>
                </c:pt>
                <c:pt idx="110">
                  <c:v>126122.2757</c:v>
                </c:pt>
                <c:pt idx="111">
                  <c:v>127253.7957</c:v>
                </c:pt>
                <c:pt idx="112">
                  <c:v>128385.3156</c:v>
                </c:pt>
                <c:pt idx="113">
                  <c:v>129516.8356</c:v>
                </c:pt>
                <c:pt idx="114">
                  <c:v>130648.3555</c:v>
                </c:pt>
                <c:pt idx="115">
                  <c:v>131779.8755</c:v>
                </c:pt>
                <c:pt idx="116">
                  <c:v>132911.3955</c:v>
                </c:pt>
                <c:pt idx="117">
                  <c:v>134042.9154</c:v>
                </c:pt>
                <c:pt idx="118">
                  <c:v>135174.4354</c:v>
                </c:pt>
                <c:pt idx="119">
                  <c:v>136305.9553</c:v>
                </c:pt>
                <c:pt idx="120">
                  <c:v>137437.4753</c:v>
                </c:pt>
                <c:pt idx="121">
                  <c:v>138568.9953</c:v>
                </c:pt>
                <c:pt idx="122">
                  <c:v>139700.5152</c:v>
                </c:pt>
                <c:pt idx="123">
                  <c:v>140832.0352</c:v>
                </c:pt>
                <c:pt idx="124">
                  <c:v>141963.5552</c:v>
                </c:pt>
                <c:pt idx="125">
                  <c:v>143095.0751</c:v>
                </c:pt>
                <c:pt idx="126">
                  <c:v>144226.5951</c:v>
                </c:pt>
                <c:pt idx="127">
                  <c:v>145358.115</c:v>
                </c:pt>
                <c:pt idx="128">
                  <c:v>146489.635</c:v>
                </c:pt>
                <c:pt idx="129">
                  <c:v>147621.155</c:v>
                </c:pt>
                <c:pt idx="130">
                  <c:v>148752.6749</c:v>
                </c:pt>
                <c:pt idx="131">
                  <c:v>149884.1949</c:v>
                </c:pt>
                <c:pt idx="132">
                  <c:v>151015.7148</c:v>
                </c:pt>
                <c:pt idx="133">
                  <c:v>152147.2348</c:v>
                </c:pt>
                <c:pt idx="134">
                  <c:v>153278.7548</c:v>
                </c:pt>
                <c:pt idx="135">
                  <c:v>154410.2747</c:v>
                </c:pt>
                <c:pt idx="136">
                  <c:v>155541.7947</c:v>
                </c:pt>
                <c:pt idx="137">
                  <c:v>156673.3146</c:v>
                </c:pt>
                <c:pt idx="138">
                  <c:v>157804.8346</c:v>
                </c:pt>
                <c:pt idx="139">
                  <c:v>158936.3546</c:v>
                </c:pt>
                <c:pt idx="140">
                  <c:v>160067.8745</c:v>
                </c:pt>
                <c:pt idx="141">
                  <c:v>161199.3945</c:v>
                </c:pt>
                <c:pt idx="142">
                  <c:v>162330.9144</c:v>
                </c:pt>
                <c:pt idx="143">
                  <c:v>163462.4344</c:v>
                </c:pt>
                <c:pt idx="144">
                  <c:v>164593.9544</c:v>
                </c:pt>
                <c:pt idx="145">
                  <c:v>165725.4743</c:v>
                </c:pt>
                <c:pt idx="146">
                  <c:v>166856.9943</c:v>
                </c:pt>
                <c:pt idx="147">
                  <c:v>167988.5143</c:v>
                </c:pt>
                <c:pt idx="148">
                  <c:v>169120.0342</c:v>
                </c:pt>
                <c:pt idx="149">
                  <c:v>170251.5542</c:v>
                </c:pt>
                <c:pt idx="150">
                  <c:v>171383.0741</c:v>
                </c:pt>
                <c:pt idx="151">
                  <c:v>172514.5941</c:v>
                </c:pt>
                <c:pt idx="152">
                  <c:v>173646.1141</c:v>
                </c:pt>
                <c:pt idx="153">
                  <c:v>174777.634</c:v>
                </c:pt>
                <c:pt idx="154">
                  <c:v>175909.154</c:v>
                </c:pt>
                <c:pt idx="155">
                  <c:v>177040.6739</c:v>
                </c:pt>
                <c:pt idx="156">
                  <c:v>178172.1939</c:v>
                </c:pt>
                <c:pt idx="157">
                  <c:v>179303.7139</c:v>
                </c:pt>
                <c:pt idx="158">
                  <c:v>180435.2338</c:v>
                </c:pt>
                <c:pt idx="159">
                  <c:v>181566.7538</c:v>
                </c:pt>
                <c:pt idx="160">
                  <c:v>182698.2737</c:v>
                </c:pt>
                <c:pt idx="161">
                  <c:v>183829.7937</c:v>
                </c:pt>
                <c:pt idx="162">
                  <c:v>184961.3137</c:v>
                </c:pt>
                <c:pt idx="163">
                  <c:v>186092.8336</c:v>
                </c:pt>
                <c:pt idx="164">
                  <c:v>187224.3536</c:v>
                </c:pt>
                <c:pt idx="165">
                  <c:v>188355.8735</c:v>
                </c:pt>
                <c:pt idx="166">
                  <c:v>189487.3935</c:v>
                </c:pt>
                <c:pt idx="167">
                  <c:v>190618.9135</c:v>
                </c:pt>
                <c:pt idx="168">
                  <c:v>191750.4334</c:v>
                </c:pt>
                <c:pt idx="169">
                  <c:v>192881.9534</c:v>
                </c:pt>
                <c:pt idx="170">
                  <c:v>194013.4734</c:v>
                </c:pt>
                <c:pt idx="171">
                  <c:v>195144.9933</c:v>
                </c:pt>
                <c:pt idx="172">
                  <c:v>196276.5133</c:v>
                </c:pt>
                <c:pt idx="173">
                  <c:v>197408.0332</c:v>
                </c:pt>
                <c:pt idx="174">
                  <c:v>198539.5532</c:v>
                </c:pt>
                <c:pt idx="175">
                  <c:v>199671.0732</c:v>
                </c:pt>
                <c:pt idx="176">
                  <c:v>200802.5931</c:v>
                </c:pt>
                <c:pt idx="177">
                  <c:v>201934.1131</c:v>
                </c:pt>
                <c:pt idx="178">
                  <c:v>203065.633</c:v>
                </c:pt>
                <c:pt idx="179">
                  <c:v>204197.153</c:v>
                </c:pt>
                <c:pt idx="180">
                  <c:v>205328.673</c:v>
                </c:pt>
                <c:pt idx="181">
                  <c:v>206460.1929</c:v>
                </c:pt>
                <c:pt idx="182">
                  <c:v>207591.7129</c:v>
                </c:pt>
                <c:pt idx="183">
                  <c:v>208723.2328</c:v>
                </c:pt>
                <c:pt idx="184">
                  <c:v>209854.7528</c:v>
                </c:pt>
                <c:pt idx="185">
                  <c:v>210986.2728</c:v>
                </c:pt>
                <c:pt idx="186">
                  <c:v>212117.7927</c:v>
                </c:pt>
                <c:pt idx="187">
                  <c:v>213249.3127</c:v>
                </c:pt>
                <c:pt idx="188">
                  <c:v>214380.8326</c:v>
                </c:pt>
                <c:pt idx="189">
                  <c:v>215512.3526</c:v>
                </c:pt>
                <c:pt idx="190">
                  <c:v>216643.8726</c:v>
                </c:pt>
                <c:pt idx="191">
                  <c:v>217775.3925</c:v>
                </c:pt>
                <c:pt idx="192">
                  <c:v>218906.9125</c:v>
                </c:pt>
                <c:pt idx="193">
                  <c:v>220038.4325</c:v>
                </c:pt>
                <c:pt idx="194">
                  <c:v>221169.9524</c:v>
                </c:pt>
                <c:pt idx="195">
                  <c:v>222301.4724</c:v>
                </c:pt>
                <c:pt idx="196">
                  <c:v>223432.9923</c:v>
                </c:pt>
                <c:pt idx="197">
                  <c:v>224564.5123</c:v>
                </c:pt>
                <c:pt idx="198">
                  <c:v>225696.0323</c:v>
                </c:pt>
                <c:pt idx="199">
                  <c:v>226827.5522</c:v>
                </c:pt>
                <c:pt idx="200">
                  <c:v>227959.0722</c:v>
                </c:pt>
                <c:pt idx="201">
                  <c:v>229090.5921</c:v>
                </c:pt>
                <c:pt idx="202">
                  <c:v>230222.1121</c:v>
                </c:pt>
                <c:pt idx="203">
                  <c:v>231353.6321</c:v>
                </c:pt>
                <c:pt idx="204">
                  <c:v>232485.152</c:v>
                </c:pt>
                <c:pt idx="205">
                  <c:v>233616.672</c:v>
                </c:pt>
                <c:pt idx="206">
                  <c:v>234748.1919</c:v>
                </c:pt>
                <c:pt idx="207">
                  <c:v>235879.7119</c:v>
                </c:pt>
                <c:pt idx="208">
                  <c:v>237011.2319</c:v>
                </c:pt>
                <c:pt idx="209">
                  <c:v>238142.7518</c:v>
                </c:pt>
                <c:pt idx="210">
                  <c:v>239274.2718</c:v>
                </c:pt>
                <c:pt idx="211">
                  <c:v>240405.7917</c:v>
                </c:pt>
                <c:pt idx="212">
                  <c:v>241537.3117</c:v>
                </c:pt>
                <c:pt idx="213">
                  <c:v>242668.8317</c:v>
                </c:pt>
                <c:pt idx="214">
                  <c:v>243800.3516</c:v>
                </c:pt>
                <c:pt idx="215">
                  <c:v>244931.8716</c:v>
                </c:pt>
                <c:pt idx="216">
                  <c:v>246063.3916</c:v>
                </c:pt>
                <c:pt idx="217">
                  <c:v>247194.9115</c:v>
                </c:pt>
                <c:pt idx="218">
                  <c:v>248326.4315</c:v>
                </c:pt>
                <c:pt idx="219">
                  <c:v>249457.9514</c:v>
                </c:pt>
                <c:pt idx="220">
                  <c:v>250589.4714</c:v>
                </c:pt>
                <c:pt idx="221">
                  <c:v>251720.9914</c:v>
                </c:pt>
                <c:pt idx="222">
                  <c:v>252852.5113</c:v>
                </c:pt>
                <c:pt idx="223">
                  <c:v>253984.0313</c:v>
                </c:pt>
                <c:pt idx="224">
                  <c:v>255115.5512</c:v>
                </c:pt>
                <c:pt idx="225">
                  <c:v>256247.0712</c:v>
                </c:pt>
                <c:pt idx="226">
                  <c:v>257378.5912</c:v>
                </c:pt>
                <c:pt idx="227">
                  <c:v>258510.1111</c:v>
                </c:pt>
                <c:pt idx="228">
                  <c:v>259641.6311</c:v>
                </c:pt>
                <c:pt idx="229">
                  <c:v>260773.151</c:v>
                </c:pt>
                <c:pt idx="230">
                  <c:v>261904.671</c:v>
                </c:pt>
                <c:pt idx="231">
                  <c:v>263036.191</c:v>
                </c:pt>
                <c:pt idx="232">
                  <c:v>264167.7109</c:v>
                </c:pt>
                <c:pt idx="233">
                  <c:v>265299.2309</c:v>
                </c:pt>
                <c:pt idx="234">
                  <c:v>266430.7509</c:v>
                </c:pt>
                <c:pt idx="235">
                  <c:v>267562.2708</c:v>
                </c:pt>
                <c:pt idx="236">
                  <c:v>268693.7908</c:v>
                </c:pt>
                <c:pt idx="237">
                  <c:v>269825.3107</c:v>
                </c:pt>
                <c:pt idx="238">
                  <c:v>270956.8307</c:v>
                </c:pt>
                <c:pt idx="239">
                  <c:v>272088.3507</c:v>
                </c:pt>
                <c:pt idx="240">
                  <c:v>273219.8706</c:v>
                </c:pt>
                <c:pt idx="241">
                  <c:v>274351.3906</c:v>
                </c:pt>
                <c:pt idx="242">
                  <c:v>275482.9105</c:v>
                </c:pt>
                <c:pt idx="243">
                  <c:v>276614.4305</c:v>
                </c:pt>
                <c:pt idx="244">
                  <c:v>277745.9505</c:v>
                </c:pt>
                <c:pt idx="245">
                  <c:v>278877.4704</c:v>
                </c:pt>
                <c:pt idx="246">
                  <c:v>280008.9904</c:v>
                </c:pt>
                <c:pt idx="247">
                  <c:v>281140.5103</c:v>
                </c:pt>
                <c:pt idx="248">
                  <c:v>282272.0303</c:v>
                </c:pt>
                <c:pt idx="249">
                  <c:v>283403.5503</c:v>
                </c:pt>
                <c:pt idx="250">
                  <c:v>284535.0702</c:v>
                </c:pt>
                <c:pt idx="251">
                  <c:v>285666.5902</c:v>
                </c:pt>
                <c:pt idx="252">
                  <c:v>286798.1101</c:v>
                </c:pt>
                <c:pt idx="253">
                  <c:v>287929.6301</c:v>
                </c:pt>
                <c:pt idx="254">
                  <c:v>289061.1501</c:v>
                </c:pt>
                <c:pt idx="255">
                  <c:v>290192.67</c:v>
                </c:pt>
                <c:pt idx="256">
                  <c:v>291324.19</c:v>
                </c:pt>
                <c:pt idx="257">
                  <c:v>292455.71</c:v>
                </c:pt>
                <c:pt idx="258">
                  <c:v>293587.2299</c:v>
                </c:pt>
                <c:pt idx="259">
                  <c:v>294718.7499</c:v>
                </c:pt>
                <c:pt idx="260">
                  <c:v>295850.2698</c:v>
                </c:pt>
                <c:pt idx="261">
                  <c:v>296981.7898</c:v>
                </c:pt>
                <c:pt idx="262">
                  <c:v>298113.3098</c:v>
                </c:pt>
                <c:pt idx="263">
                  <c:v>299244.8297</c:v>
                </c:pt>
                <c:pt idx="264">
                  <c:v>300376.3497</c:v>
                </c:pt>
                <c:pt idx="265">
                  <c:v>301507.8696</c:v>
                </c:pt>
                <c:pt idx="266">
                  <c:v>302639.3896</c:v>
                </c:pt>
                <c:pt idx="267">
                  <c:v>303770.9096</c:v>
                </c:pt>
                <c:pt idx="268">
                  <c:v>304902.4295</c:v>
                </c:pt>
                <c:pt idx="269">
                  <c:v>306033.9495</c:v>
                </c:pt>
                <c:pt idx="270">
                  <c:v>307165.4694</c:v>
                </c:pt>
                <c:pt idx="271">
                  <c:v>308296.9894</c:v>
                </c:pt>
                <c:pt idx="272">
                  <c:v>309428.5094</c:v>
                </c:pt>
                <c:pt idx="273">
                  <c:v>310560.0293</c:v>
                </c:pt>
                <c:pt idx="274">
                  <c:v>311691.5493</c:v>
                </c:pt>
                <c:pt idx="275">
                  <c:v>312823.0692</c:v>
                </c:pt>
                <c:pt idx="276">
                  <c:v>313954.5892</c:v>
                </c:pt>
                <c:pt idx="277">
                  <c:v>315086.1092</c:v>
                </c:pt>
                <c:pt idx="278">
                  <c:v>316217.6291</c:v>
                </c:pt>
                <c:pt idx="279">
                  <c:v>317349.1491</c:v>
                </c:pt>
                <c:pt idx="280">
                  <c:v>318480.6691</c:v>
                </c:pt>
                <c:pt idx="281">
                  <c:v>319612.189</c:v>
                </c:pt>
                <c:pt idx="282">
                  <c:v>320743.709</c:v>
                </c:pt>
                <c:pt idx="283">
                  <c:v>321875.2289</c:v>
                </c:pt>
                <c:pt idx="284">
                  <c:v>323006.7489</c:v>
                </c:pt>
                <c:pt idx="285">
                  <c:v>324138.2689</c:v>
                </c:pt>
                <c:pt idx="286">
                  <c:v>325269.7888</c:v>
                </c:pt>
                <c:pt idx="287">
                  <c:v>326401.3088</c:v>
                </c:pt>
                <c:pt idx="288">
                  <c:v>327532.8287</c:v>
                </c:pt>
                <c:pt idx="289">
                  <c:v>328664.3487</c:v>
                </c:pt>
                <c:pt idx="290">
                  <c:v>329795.8687</c:v>
                </c:pt>
                <c:pt idx="291">
                  <c:v>330927.3886</c:v>
                </c:pt>
                <c:pt idx="292">
                  <c:v>332058.9086</c:v>
                </c:pt>
                <c:pt idx="293">
                  <c:v>333190.4285</c:v>
                </c:pt>
                <c:pt idx="294">
                  <c:v>334321.9485</c:v>
                </c:pt>
                <c:pt idx="295">
                  <c:v>335453.4685</c:v>
                </c:pt>
                <c:pt idx="296">
                  <c:v>336584.9884</c:v>
                </c:pt>
                <c:pt idx="297">
                  <c:v>337716.5084</c:v>
                </c:pt>
                <c:pt idx="298">
                  <c:v>338848.0283</c:v>
                </c:pt>
                <c:pt idx="299">
                  <c:v>339979.5483</c:v>
                </c:pt>
                <c:pt idx="300">
                  <c:v>341111.0683</c:v>
                </c:pt>
                <c:pt idx="301">
                  <c:v>342242.5882</c:v>
                </c:pt>
                <c:pt idx="302">
                  <c:v>343374.1082</c:v>
                </c:pt>
                <c:pt idx="303">
                  <c:v>344505.6282</c:v>
                </c:pt>
                <c:pt idx="304">
                  <c:v>345637.1481</c:v>
                </c:pt>
                <c:pt idx="305">
                  <c:v>346768.6681</c:v>
                </c:pt>
                <c:pt idx="306">
                  <c:v>347900.188</c:v>
                </c:pt>
                <c:pt idx="307">
                  <c:v>349031.708</c:v>
                </c:pt>
                <c:pt idx="308">
                  <c:v>350163.228</c:v>
                </c:pt>
                <c:pt idx="309">
                  <c:v>351294.7479</c:v>
                </c:pt>
                <c:pt idx="310">
                  <c:v>352426.2679</c:v>
                </c:pt>
                <c:pt idx="311">
                  <c:v>353557.7878</c:v>
                </c:pt>
                <c:pt idx="312">
                  <c:v>354689.3078</c:v>
                </c:pt>
                <c:pt idx="313">
                  <c:v>355820.8278</c:v>
                </c:pt>
                <c:pt idx="314">
                  <c:v>356952.3477</c:v>
                </c:pt>
                <c:pt idx="315">
                  <c:v>358083.8677</c:v>
                </c:pt>
                <c:pt idx="316">
                  <c:v>359215.3876</c:v>
                </c:pt>
                <c:pt idx="317">
                  <c:v>360346.9076</c:v>
                </c:pt>
                <c:pt idx="318">
                  <c:v>361478.4276</c:v>
                </c:pt>
                <c:pt idx="319">
                  <c:v>362609.9475</c:v>
                </c:pt>
                <c:pt idx="320">
                  <c:v>363741.4675</c:v>
                </c:pt>
                <c:pt idx="321">
                  <c:v>364872.9874</c:v>
                </c:pt>
                <c:pt idx="322">
                  <c:v>366004.5074</c:v>
                </c:pt>
                <c:pt idx="323">
                  <c:v>367136.0274</c:v>
                </c:pt>
                <c:pt idx="324">
                  <c:v>368267.5473</c:v>
                </c:pt>
                <c:pt idx="325">
                  <c:v>369399.0673</c:v>
                </c:pt>
                <c:pt idx="326">
                  <c:v>370530.5873</c:v>
                </c:pt>
                <c:pt idx="327">
                  <c:v>371662.1072</c:v>
                </c:pt>
                <c:pt idx="328">
                  <c:v>372793.6272</c:v>
                </c:pt>
                <c:pt idx="329">
                  <c:v>373925.1471</c:v>
                </c:pt>
                <c:pt idx="330">
                  <c:v>375056.6671</c:v>
                </c:pt>
                <c:pt idx="331">
                  <c:v>376188.1871</c:v>
                </c:pt>
                <c:pt idx="332">
                  <c:v>377319.707</c:v>
                </c:pt>
                <c:pt idx="333">
                  <c:v>378451.227</c:v>
                </c:pt>
                <c:pt idx="334">
                  <c:v>379582.7469</c:v>
                </c:pt>
                <c:pt idx="335">
                  <c:v>380714.2669</c:v>
                </c:pt>
                <c:pt idx="336">
                  <c:v>381845.7869</c:v>
                </c:pt>
                <c:pt idx="337">
                  <c:v>382977.3068</c:v>
                </c:pt>
                <c:pt idx="338">
                  <c:v>384108.8268</c:v>
                </c:pt>
                <c:pt idx="339">
                  <c:v>385240.3467</c:v>
                </c:pt>
                <c:pt idx="340">
                  <c:v>386371.8667</c:v>
                </c:pt>
                <c:pt idx="341">
                  <c:v>387503.3867</c:v>
                </c:pt>
                <c:pt idx="342">
                  <c:v>388634.9066</c:v>
                </c:pt>
                <c:pt idx="343">
                  <c:v>389766.4266</c:v>
                </c:pt>
                <c:pt idx="344">
                  <c:v>390897.9465</c:v>
                </c:pt>
                <c:pt idx="345">
                  <c:v>392029.4665</c:v>
                </c:pt>
                <c:pt idx="346">
                  <c:v>393160.9865</c:v>
                </c:pt>
                <c:pt idx="347">
                  <c:v>394292.5064</c:v>
                </c:pt>
                <c:pt idx="348">
                  <c:v>395424.0264</c:v>
                </c:pt>
                <c:pt idx="349">
                  <c:v>396555.5464</c:v>
                </c:pt>
                <c:pt idx="350">
                  <c:v>397687.0663</c:v>
                </c:pt>
                <c:pt idx="351">
                  <c:v>398818.5863</c:v>
                </c:pt>
                <c:pt idx="352">
                  <c:v>399950.1062</c:v>
                </c:pt>
                <c:pt idx="353">
                  <c:v>401081.6262</c:v>
                </c:pt>
                <c:pt idx="354">
                  <c:v>402213.1462</c:v>
                </c:pt>
                <c:pt idx="355">
                  <c:v>403344.6661</c:v>
                </c:pt>
                <c:pt idx="356">
                  <c:v>404476.1861</c:v>
                </c:pt>
                <c:pt idx="357">
                  <c:v>405607.706</c:v>
                </c:pt>
                <c:pt idx="358">
                  <c:v>406739.226</c:v>
                </c:pt>
                <c:pt idx="359">
                  <c:v>407870.746</c:v>
                </c:pt>
                <c:pt idx="360">
                  <c:v>409002.2659</c:v>
                </c:pt>
                <c:pt idx="361">
                  <c:v>410133.7859</c:v>
                </c:pt>
                <c:pt idx="362">
                  <c:v>411265.3058</c:v>
                </c:pt>
                <c:pt idx="363">
                  <c:v>412396.8258</c:v>
                </c:pt>
                <c:pt idx="364">
                  <c:v>413528.3458</c:v>
                </c:pt>
                <c:pt idx="365">
                  <c:v>414659.8657</c:v>
                </c:pt>
                <c:pt idx="366">
                  <c:v>415791.3857</c:v>
                </c:pt>
                <c:pt idx="367">
                  <c:v>416922.9057</c:v>
                </c:pt>
                <c:pt idx="368">
                  <c:v>418054.4256</c:v>
                </c:pt>
                <c:pt idx="369">
                  <c:v>419185.9456</c:v>
                </c:pt>
                <c:pt idx="370">
                  <c:v>420317.4655</c:v>
                </c:pt>
                <c:pt idx="371">
                  <c:v>421448.9855</c:v>
                </c:pt>
                <c:pt idx="372">
                  <c:v>422580.5055</c:v>
                </c:pt>
                <c:pt idx="373">
                  <c:v>423712.0254</c:v>
                </c:pt>
                <c:pt idx="374">
                  <c:v>424843.5454</c:v>
                </c:pt>
                <c:pt idx="375">
                  <c:v>425975.0653</c:v>
                </c:pt>
                <c:pt idx="376">
                  <c:v>427106.5853</c:v>
                </c:pt>
                <c:pt idx="377">
                  <c:v>428238.1053</c:v>
                </c:pt>
                <c:pt idx="378">
                  <c:v>429369.6252</c:v>
                </c:pt>
                <c:pt idx="379">
                  <c:v>430501.1452</c:v>
                </c:pt>
                <c:pt idx="380">
                  <c:v>431632.6651</c:v>
                </c:pt>
                <c:pt idx="381">
                  <c:v>432764.1851</c:v>
                </c:pt>
                <c:pt idx="382">
                  <c:v>433895.7051</c:v>
                </c:pt>
                <c:pt idx="383">
                  <c:v>435027.225</c:v>
                </c:pt>
                <c:pt idx="384">
                  <c:v>436158.745</c:v>
                </c:pt>
                <c:pt idx="385">
                  <c:v>437290.2649</c:v>
                </c:pt>
                <c:pt idx="386">
                  <c:v>438421.7849</c:v>
                </c:pt>
                <c:pt idx="387">
                  <c:v>439553.3049</c:v>
                </c:pt>
                <c:pt idx="388">
                  <c:v>440684.8248</c:v>
                </c:pt>
                <c:pt idx="389">
                  <c:v>441816.3448</c:v>
                </c:pt>
                <c:pt idx="390">
                  <c:v>442947.8648</c:v>
                </c:pt>
                <c:pt idx="391">
                  <c:v>444079.3847</c:v>
                </c:pt>
                <c:pt idx="392">
                  <c:v>445210.9047</c:v>
                </c:pt>
                <c:pt idx="393">
                  <c:v>446342.4246</c:v>
                </c:pt>
                <c:pt idx="394">
                  <c:v>447473.9446</c:v>
                </c:pt>
                <c:pt idx="395">
                  <c:v>448605.4646</c:v>
                </c:pt>
                <c:pt idx="396">
                  <c:v>449736.9845</c:v>
                </c:pt>
                <c:pt idx="397">
                  <c:v>450868.5045</c:v>
                </c:pt>
                <c:pt idx="398">
                  <c:v>452000.0244</c:v>
                </c:pt>
                <c:pt idx="399">
                  <c:v>453131.5444</c:v>
                </c:pt>
                <c:pt idx="400">
                  <c:v>454263.0644</c:v>
                </c:pt>
                <c:pt idx="401">
                  <c:v>455394.5843</c:v>
                </c:pt>
                <c:pt idx="402">
                  <c:v>456526.1043</c:v>
                </c:pt>
                <c:pt idx="403">
                  <c:v>457657.6242</c:v>
                </c:pt>
                <c:pt idx="404">
                  <c:v>458789.1442</c:v>
                </c:pt>
                <c:pt idx="405">
                  <c:v>459920.6642</c:v>
                </c:pt>
                <c:pt idx="406">
                  <c:v>461052.1841</c:v>
                </c:pt>
                <c:pt idx="407">
                  <c:v>462183.7041</c:v>
                </c:pt>
                <c:pt idx="408">
                  <c:v>463315.224</c:v>
                </c:pt>
                <c:pt idx="409">
                  <c:v>464446.744</c:v>
                </c:pt>
                <c:pt idx="410">
                  <c:v>465578.264</c:v>
                </c:pt>
                <c:pt idx="411">
                  <c:v>466709.7839</c:v>
                </c:pt>
                <c:pt idx="412">
                  <c:v>467841.3039</c:v>
                </c:pt>
                <c:pt idx="413">
                  <c:v>468972.8239</c:v>
                </c:pt>
                <c:pt idx="414">
                  <c:v>470104.3438</c:v>
                </c:pt>
                <c:pt idx="415">
                  <c:v>471235.8638</c:v>
                </c:pt>
                <c:pt idx="416">
                  <c:v>472367.3837</c:v>
                </c:pt>
                <c:pt idx="417">
                  <c:v>473498.9037</c:v>
                </c:pt>
                <c:pt idx="418">
                  <c:v>474630.4237</c:v>
                </c:pt>
                <c:pt idx="419">
                  <c:v>475761.9436</c:v>
                </c:pt>
                <c:pt idx="420">
                  <c:v>476893.4636</c:v>
                </c:pt>
                <c:pt idx="421">
                  <c:v>478024.9835</c:v>
                </c:pt>
                <c:pt idx="422">
                  <c:v>479156.5035</c:v>
                </c:pt>
                <c:pt idx="423">
                  <c:v>480288.0235</c:v>
                </c:pt>
                <c:pt idx="424">
                  <c:v>481419.5434</c:v>
                </c:pt>
                <c:pt idx="425">
                  <c:v>482551.0634</c:v>
                </c:pt>
                <c:pt idx="426">
                  <c:v>483682.5833</c:v>
                </c:pt>
                <c:pt idx="427">
                  <c:v>484814.1033</c:v>
                </c:pt>
                <c:pt idx="428">
                  <c:v>485945.6233</c:v>
                </c:pt>
                <c:pt idx="429">
                  <c:v>487077.1432</c:v>
                </c:pt>
                <c:pt idx="430">
                  <c:v>488208.6632</c:v>
                </c:pt>
                <c:pt idx="431">
                  <c:v>489340.1831</c:v>
                </c:pt>
                <c:pt idx="432">
                  <c:v>490471.7031</c:v>
                </c:pt>
                <c:pt idx="433">
                  <c:v>491603.2231</c:v>
                </c:pt>
                <c:pt idx="434">
                  <c:v>492734.743</c:v>
                </c:pt>
                <c:pt idx="435">
                  <c:v>493866.263</c:v>
                </c:pt>
                <c:pt idx="436">
                  <c:v>494997.783</c:v>
                </c:pt>
                <c:pt idx="437">
                  <c:v>496129.3029</c:v>
                </c:pt>
                <c:pt idx="438">
                  <c:v>497260.8229</c:v>
                </c:pt>
                <c:pt idx="439">
                  <c:v>498392.3428</c:v>
                </c:pt>
                <c:pt idx="440">
                  <c:v>499523.8628</c:v>
                </c:pt>
                <c:pt idx="441">
                  <c:v>500655.3828</c:v>
                </c:pt>
                <c:pt idx="442">
                  <c:v>501786.9027</c:v>
                </c:pt>
                <c:pt idx="443">
                  <c:v>502918.4227</c:v>
                </c:pt>
                <c:pt idx="444">
                  <c:v>504049.9426</c:v>
                </c:pt>
                <c:pt idx="445">
                  <c:v>505181.4626</c:v>
                </c:pt>
                <c:pt idx="446">
                  <c:v>506312.9826</c:v>
                </c:pt>
                <c:pt idx="447">
                  <c:v>507444.5025</c:v>
                </c:pt>
                <c:pt idx="448">
                  <c:v>508576.0225</c:v>
                </c:pt>
                <c:pt idx="449">
                  <c:v>509707.5424</c:v>
                </c:pt>
                <c:pt idx="450">
                  <c:v>510839.0624</c:v>
                </c:pt>
                <c:pt idx="451">
                  <c:v>511970.5824</c:v>
                </c:pt>
                <c:pt idx="452">
                  <c:v>513102.1023</c:v>
                </c:pt>
                <c:pt idx="453">
                  <c:v>514233.6223</c:v>
                </c:pt>
                <c:pt idx="454">
                  <c:v>515365.1422</c:v>
                </c:pt>
                <c:pt idx="455">
                  <c:v>516496.6622</c:v>
                </c:pt>
                <c:pt idx="456">
                  <c:v>517628.1822</c:v>
                </c:pt>
                <c:pt idx="457">
                  <c:v>518759.7021</c:v>
                </c:pt>
                <c:pt idx="458">
                  <c:v>519891.2221</c:v>
                </c:pt>
                <c:pt idx="459">
                  <c:v>521022.7421</c:v>
                </c:pt>
                <c:pt idx="460">
                  <c:v>522154.262</c:v>
                </c:pt>
                <c:pt idx="461">
                  <c:v>523285.782</c:v>
                </c:pt>
                <c:pt idx="462">
                  <c:v>524417.3019</c:v>
                </c:pt>
                <c:pt idx="463">
                  <c:v>525548.8219</c:v>
                </c:pt>
                <c:pt idx="464">
                  <c:v>526680.3419</c:v>
                </c:pt>
                <c:pt idx="465">
                  <c:v>527811.8618</c:v>
                </c:pt>
                <c:pt idx="466">
                  <c:v>528943.3818</c:v>
                </c:pt>
                <c:pt idx="467">
                  <c:v>530074.9017</c:v>
                </c:pt>
                <c:pt idx="468">
                  <c:v>531206.4217</c:v>
                </c:pt>
                <c:pt idx="469">
                  <c:v>532337.9417</c:v>
                </c:pt>
                <c:pt idx="470">
                  <c:v>533469.4616</c:v>
                </c:pt>
                <c:pt idx="471">
                  <c:v>534600.9816</c:v>
                </c:pt>
                <c:pt idx="472">
                  <c:v>535732.5015</c:v>
                </c:pt>
                <c:pt idx="473">
                  <c:v>536864.0215</c:v>
                </c:pt>
                <c:pt idx="474">
                  <c:v>537995.5415</c:v>
                </c:pt>
                <c:pt idx="475">
                  <c:v>539127.0614</c:v>
                </c:pt>
                <c:pt idx="476">
                  <c:v>540258.5814</c:v>
                </c:pt>
                <c:pt idx="477">
                  <c:v>541390.1013</c:v>
                </c:pt>
                <c:pt idx="478">
                  <c:v>542521.6213</c:v>
                </c:pt>
                <c:pt idx="479">
                  <c:v>543653.1413</c:v>
                </c:pt>
                <c:pt idx="480">
                  <c:v>544784.6612</c:v>
                </c:pt>
                <c:pt idx="481">
                  <c:v>545916.1812</c:v>
                </c:pt>
                <c:pt idx="482">
                  <c:v>547047.7012</c:v>
                </c:pt>
                <c:pt idx="483">
                  <c:v>548179.2211</c:v>
                </c:pt>
                <c:pt idx="484">
                  <c:v>549310.7411</c:v>
                </c:pt>
                <c:pt idx="485">
                  <c:v>550442.261</c:v>
                </c:pt>
                <c:pt idx="486">
                  <c:v>551573.781</c:v>
                </c:pt>
                <c:pt idx="487">
                  <c:v>552705.301</c:v>
                </c:pt>
                <c:pt idx="488">
                  <c:v>553836.8209</c:v>
                </c:pt>
                <c:pt idx="489">
                  <c:v>554968.3409</c:v>
                </c:pt>
                <c:pt idx="490">
                  <c:v>556099.8608</c:v>
                </c:pt>
                <c:pt idx="491">
                  <c:v>557231.3808</c:v>
                </c:pt>
                <c:pt idx="492">
                  <c:v>558362.9008</c:v>
                </c:pt>
                <c:pt idx="493">
                  <c:v>559494.4207</c:v>
                </c:pt>
                <c:pt idx="494">
                  <c:v>560625.9407</c:v>
                </c:pt>
                <c:pt idx="495">
                  <c:v>561757.4606</c:v>
                </c:pt>
                <c:pt idx="496">
                  <c:v>562888.9806</c:v>
                </c:pt>
                <c:pt idx="497">
                  <c:v>564020.5006</c:v>
                </c:pt>
                <c:pt idx="498">
                  <c:v>565152.0205</c:v>
                </c:pt>
                <c:pt idx="499">
                  <c:v>566283.5405</c:v>
                </c:pt>
                <c:pt idx="500">
                  <c:v>567415.0604</c:v>
                </c:pt>
                <c:pt idx="501">
                  <c:v>568546.5804</c:v>
                </c:pt>
                <c:pt idx="502">
                  <c:v>569678.1004</c:v>
                </c:pt>
                <c:pt idx="503">
                  <c:v>570809.6203</c:v>
                </c:pt>
                <c:pt idx="504">
                  <c:v>571941.1403</c:v>
                </c:pt>
                <c:pt idx="505">
                  <c:v>573072.6603</c:v>
                </c:pt>
                <c:pt idx="506">
                  <c:v>574204.1802</c:v>
                </c:pt>
                <c:pt idx="507">
                  <c:v>575335.7002</c:v>
                </c:pt>
                <c:pt idx="508">
                  <c:v>576467.2201</c:v>
                </c:pt>
                <c:pt idx="509">
                  <c:v>577598.7401</c:v>
                </c:pt>
                <c:pt idx="510">
                  <c:v>578730.2601</c:v>
                </c:pt>
                <c:pt idx="511">
                  <c:v>579861.78</c:v>
                </c:pt>
                <c:pt idx="512">
                  <c:v>580993.3</c:v>
                </c:pt>
                <c:pt idx="513">
                  <c:v>582124.8199</c:v>
                </c:pt>
                <c:pt idx="514">
                  <c:v>583256.3399</c:v>
                </c:pt>
                <c:pt idx="515">
                  <c:v>584387.8599</c:v>
                </c:pt>
                <c:pt idx="516">
                  <c:v>585519.3798</c:v>
                </c:pt>
                <c:pt idx="517">
                  <c:v>586650.8998</c:v>
                </c:pt>
                <c:pt idx="518">
                  <c:v>587782.4197</c:v>
                </c:pt>
                <c:pt idx="519">
                  <c:v>588913.9397</c:v>
                </c:pt>
                <c:pt idx="520">
                  <c:v>590045.4597</c:v>
                </c:pt>
                <c:pt idx="521">
                  <c:v>591176.9796</c:v>
                </c:pt>
                <c:pt idx="522">
                  <c:v>592308.4996</c:v>
                </c:pt>
                <c:pt idx="523">
                  <c:v>593440.0196</c:v>
                </c:pt>
                <c:pt idx="524">
                  <c:v>594571.5395</c:v>
                </c:pt>
                <c:pt idx="525">
                  <c:v>595703.0595</c:v>
                </c:pt>
                <c:pt idx="526">
                  <c:v>596834.5794</c:v>
                </c:pt>
                <c:pt idx="527">
                  <c:v>597966.0994</c:v>
                </c:pt>
                <c:pt idx="528">
                  <c:v>599097.6194</c:v>
                </c:pt>
                <c:pt idx="529">
                  <c:v>600229.1393</c:v>
                </c:pt>
                <c:pt idx="530">
                  <c:v>601360.6593</c:v>
                </c:pt>
                <c:pt idx="531">
                  <c:v>602492.1792</c:v>
                </c:pt>
                <c:pt idx="532">
                  <c:v>603623.6992</c:v>
                </c:pt>
                <c:pt idx="533">
                  <c:v>604755.2192</c:v>
                </c:pt>
                <c:pt idx="534">
                  <c:v>605886.7391</c:v>
                </c:pt>
                <c:pt idx="535">
                  <c:v>607018.2591</c:v>
                </c:pt>
                <c:pt idx="536">
                  <c:v>608149.779</c:v>
                </c:pt>
                <c:pt idx="537">
                  <c:v>609281.299</c:v>
                </c:pt>
                <c:pt idx="538">
                  <c:v>610412.819</c:v>
                </c:pt>
                <c:pt idx="539">
                  <c:v>611544.3389</c:v>
                </c:pt>
                <c:pt idx="540">
                  <c:v>612675.8589</c:v>
                </c:pt>
                <c:pt idx="541">
                  <c:v>613807.3788</c:v>
                </c:pt>
                <c:pt idx="542">
                  <c:v>614938.8988</c:v>
                </c:pt>
                <c:pt idx="543">
                  <c:v>616070.4188</c:v>
                </c:pt>
                <c:pt idx="544">
                  <c:v>617201.9387</c:v>
                </c:pt>
                <c:pt idx="545">
                  <c:v>618333.4587</c:v>
                </c:pt>
                <c:pt idx="546">
                  <c:v>619464.9787</c:v>
                </c:pt>
                <c:pt idx="547">
                  <c:v>620596.4986</c:v>
                </c:pt>
                <c:pt idx="548">
                  <c:v>621728.0186</c:v>
                </c:pt>
                <c:pt idx="549">
                  <c:v>622859.5385</c:v>
                </c:pt>
                <c:pt idx="550">
                  <c:v>623991.0585</c:v>
                </c:pt>
                <c:pt idx="551">
                  <c:v>625122.5785</c:v>
                </c:pt>
                <c:pt idx="552">
                  <c:v>626254.0984</c:v>
                </c:pt>
                <c:pt idx="553">
                  <c:v>627385.6184</c:v>
                </c:pt>
                <c:pt idx="554">
                  <c:v>628517.1383</c:v>
                </c:pt>
                <c:pt idx="555">
                  <c:v>629648.6583</c:v>
                </c:pt>
                <c:pt idx="556">
                  <c:v>630780.1783</c:v>
                </c:pt>
                <c:pt idx="557">
                  <c:v>631911.6982</c:v>
                </c:pt>
                <c:pt idx="558">
                  <c:v>633043.2182</c:v>
                </c:pt>
                <c:pt idx="559">
                  <c:v>634174.7381</c:v>
                </c:pt>
                <c:pt idx="560">
                  <c:v>635306.2581</c:v>
                </c:pt>
                <c:pt idx="561">
                  <c:v>636437.7781</c:v>
                </c:pt>
                <c:pt idx="562">
                  <c:v>637569.298</c:v>
                </c:pt>
                <c:pt idx="563">
                  <c:v>638700.818</c:v>
                </c:pt>
                <c:pt idx="564">
                  <c:v>639832.3379</c:v>
                </c:pt>
                <c:pt idx="565">
                  <c:v>640963.8579</c:v>
                </c:pt>
                <c:pt idx="566">
                  <c:v>642095.3779</c:v>
                </c:pt>
                <c:pt idx="567">
                  <c:v>643226.8978</c:v>
                </c:pt>
                <c:pt idx="568">
                  <c:v>644358.4178</c:v>
                </c:pt>
                <c:pt idx="569">
                  <c:v>645489.9378</c:v>
                </c:pt>
                <c:pt idx="570">
                  <c:v>646621.4577</c:v>
                </c:pt>
                <c:pt idx="571">
                  <c:v>647752.9777</c:v>
                </c:pt>
                <c:pt idx="572">
                  <c:v>648884.4976</c:v>
                </c:pt>
                <c:pt idx="573">
                  <c:v>650016.0176</c:v>
                </c:pt>
                <c:pt idx="574">
                  <c:v>651147.5376</c:v>
                </c:pt>
                <c:pt idx="575">
                  <c:v>652279.0575</c:v>
                </c:pt>
                <c:pt idx="576">
                  <c:v>653410.5775</c:v>
                </c:pt>
                <c:pt idx="577">
                  <c:v>654542.0974</c:v>
                </c:pt>
                <c:pt idx="578">
                  <c:v>655673.6174</c:v>
                </c:pt>
                <c:pt idx="579">
                  <c:v>656805.1374</c:v>
                </c:pt>
                <c:pt idx="580">
                  <c:v>657936.6573</c:v>
                </c:pt>
                <c:pt idx="581">
                  <c:v>659068.1773</c:v>
                </c:pt>
                <c:pt idx="582">
                  <c:v>660199.6972</c:v>
                </c:pt>
                <c:pt idx="583">
                  <c:v>661331.2172</c:v>
                </c:pt>
                <c:pt idx="584">
                  <c:v>662462.7372</c:v>
                </c:pt>
                <c:pt idx="585">
                  <c:v>663594.2571</c:v>
                </c:pt>
                <c:pt idx="586">
                  <c:v>664725.7771</c:v>
                </c:pt>
                <c:pt idx="587">
                  <c:v>665857.297</c:v>
                </c:pt>
                <c:pt idx="588">
                  <c:v>666988.817</c:v>
                </c:pt>
                <c:pt idx="589">
                  <c:v>668120.337</c:v>
                </c:pt>
                <c:pt idx="590">
                  <c:v>669251.8569</c:v>
                </c:pt>
                <c:pt idx="591">
                  <c:v>670383.3769</c:v>
                </c:pt>
                <c:pt idx="592">
                  <c:v>671514.8969</c:v>
                </c:pt>
                <c:pt idx="593">
                  <c:v>672646.4168</c:v>
                </c:pt>
                <c:pt idx="594">
                  <c:v>673777.9368</c:v>
                </c:pt>
                <c:pt idx="595">
                  <c:v>674909.4567</c:v>
                </c:pt>
                <c:pt idx="596">
                  <c:v>676040.9767</c:v>
                </c:pt>
                <c:pt idx="597">
                  <c:v>677172.4967</c:v>
                </c:pt>
                <c:pt idx="598">
                  <c:v>678304.0166</c:v>
                </c:pt>
                <c:pt idx="599">
                  <c:v>679435.5366</c:v>
                </c:pt>
                <c:pt idx="600">
                  <c:v>680567.0565</c:v>
                </c:pt>
                <c:pt idx="601">
                  <c:v>681698.5765</c:v>
                </c:pt>
                <c:pt idx="602">
                  <c:v>682830.0965</c:v>
                </c:pt>
                <c:pt idx="603">
                  <c:v>683961.6164</c:v>
                </c:pt>
                <c:pt idx="604">
                  <c:v>685093.1364</c:v>
                </c:pt>
                <c:pt idx="605">
                  <c:v>686224.6563</c:v>
                </c:pt>
                <c:pt idx="606">
                  <c:v>687356.1763</c:v>
                </c:pt>
                <c:pt idx="607">
                  <c:v>688487.6963</c:v>
                </c:pt>
                <c:pt idx="608">
                  <c:v>689619.2162</c:v>
                </c:pt>
                <c:pt idx="609">
                  <c:v>690750.7362</c:v>
                </c:pt>
                <c:pt idx="610">
                  <c:v>691882.2561</c:v>
                </c:pt>
                <c:pt idx="611">
                  <c:v>693013.7761</c:v>
                </c:pt>
                <c:pt idx="612">
                  <c:v>694145.2961</c:v>
                </c:pt>
                <c:pt idx="613">
                  <c:v>695276.816</c:v>
                </c:pt>
                <c:pt idx="614">
                  <c:v>696408.336</c:v>
                </c:pt>
                <c:pt idx="615">
                  <c:v>697539.856</c:v>
                </c:pt>
                <c:pt idx="616">
                  <c:v>698671.3759</c:v>
                </c:pt>
                <c:pt idx="617">
                  <c:v>699802.8959</c:v>
                </c:pt>
                <c:pt idx="618">
                  <c:v>700934.4158</c:v>
                </c:pt>
                <c:pt idx="619">
                  <c:v>702065.9358</c:v>
                </c:pt>
                <c:pt idx="620">
                  <c:v>703197.4558</c:v>
                </c:pt>
                <c:pt idx="621">
                  <c:v>704328.9757</c:v>
                </c:pt>
                <c:pt idx="622">
                  <c:v>705460.4957</c:v>
                </c:pt>
                <c:pt idx="623">
                  <c:v>706592.0156</c:v>
                </c:pt>
                <c:pt idx="624">
                  <c:v>707723.5356</c:v>
                </c:pt>
                <c:pt idx="625">
                  <c:v>708855.0556</c:v>
                </c:pt>
                <c:pt idx="626">
                  <c:v>709986.5755</c:v>
                </c:pt>
                <c:pt idx="627">
                  <c:v>711118.0955</c:v>
                </c:pt>
                <c:pt idx="628">
                  <c:v>712249.6154</c:v>
                </c:pt>
                <c:pt idx="629">
                  <c:v>713381.1354</c:v>
                </c:pt>
                <c:pt idx="630">
                  <c:v>714512.6554</c:v>
                </c:pt>
                <c:pt idx="631">
                  <c:v>715644.1753</c:v>
                </c:pt>
                <c:pt idx="632">
                  <c:v>716775.6953</c:v>
                </c:pt>
                <c:pt idx="633">
                  <c:v>717907.2152</c:v>
                </c:pt>
                <c:pt idx="634">
                  <c:v>719038.7352</c:v>
                </c:pt>
                <c:pt idx="635">
                  <c:v>720170.2552</c:v>
                </c:pt>
                <c:pt idx="636">
                  <c:v>721301.7751</c:v>
                </c:pt>
                <c:pt idx="637">
                  <c:v>722433.2951</c:v>
                </c:pt>
                <c:pt idx="638">
                  <c:v>723564.8151</c:v>
                </c:pt>
                <c:pt idx="639">
                  <c:v>724696.335</c:v>
                </c:pt>
                <c:pt idx="640">
                  <c:v>725827.855</c:v>
                </c:pt>
                <c:pt idx="641">
                  <c:v>726959.3749</c:v>
                </c:pt>
                <c:pt idx="642">
                  <c:v>728090.8949</c:v>
                </c:pt>
                <c:pt idx="643">
                  <c:v>729222.4149</c:v>
                </c:pt>
                <c:pt idx="644">
                  <c:v>730353.9348</c:v>
                </c:pt>
                <c:pt idx="645">
                  <c:v>731485.4548</c:v>
                </c:pt>
                <c:pt idx="646">
                  <c:v>732616.9747</c:v>
                </c:pt>
                <c:pt idx="647">
                  <c:v>733748.4947</c:v>
                </c:pt>
                <c:pt idx="648">
                  <c:v>734880.0147</c:v>
                </c:pt>
                <c:pt idx="649">
                  <c:v>736011.5346</c:v>
                </c:pt>
                <c:pt idx="650">
                  <c:v>737143.0546</c:v>
                </c:pt>
                <c:pt idx="651">
                  <c:v>738274.5745</c:v>
                </c:pt>
                <c:pt idx="652">
                  <c:v>739406.0945</c:v>
                </c:pt>
                <c:pt idx="653">
                  <c:v>740537.6145</c:v>
                </c:pt>
                <c:pt idx="654">
                  <c:v>741669.1344</c:v>
                </c:pt>
                <c:pt idx="655">
                  <c:v>742800.6544</c:v>
                </c:pt>
                <c:pt idx="656">
                  <c:v>743932.1743</c:v>
                </c:pt>
                <c:pt idx="657">
                  <c:v>745063.6943</c:v>
                </c:pt>
                <c:pt idx="658">
                  <c:v>746195.2143</c:v>
                </c:pt>
                <c:pt idx="659">
                  <c:v>747326.7342</c:v>
                </c:pt>
                <c:pt idx="660">
                  <c:v>748458.2542</c:v>
                </c:pt>
                <c:pt idx="661">
                  <c:v>749589.7742</c:v>
                </c:pt>
                <c:pt idx="662">
                  <c:v>750721.2941</c:v>
                </c:pt>
                <c:pt idx="663">
                  <c:v>751852.8141</c:v>
                </c:pt>
                <c:pt idx="664">
                  <c:v>752984.334</c:v>
                </c:pt>
                <c:pt idx="665">
                  <c:v>754115.854</c:v>
                </c:pt>
                <c:pt idx="666">
                  <c:v>755247.374</c:v>
                </c:pt>
                <c:pt idx="667">
                  <c:v>756378.8939</c:v>
                </c:pt>
                <c:pt idx="668">
                  <c:v>757510.4139</c:v>
                </c:pt>
                <c:pt idx="669">
                  <c:v>758641.9338</c:v>
                </c:pt>
                <c:pt idx="670">
                  <c:v>759773.4538</c:v>
                </c:pt>
                <c:pt idx="671">
                  <c:v>760904.9738</c:v>
                </c:pt>
                <c:pt idx="672">
                  <c:v>762036.4937</c:v>
                </c:pt>
                <c:pt idx="673">
                  <c:v>763168.0137</c:v>
                </c:pt>
                <c:pt idx="674">
                  <c:v>764299.5336</c:v>
                </c:pt>
                <c:pt idx="675">
                  <c:v>765431.0536</c:v>
                </c:pt>
                <c:pt idx="676">
                  <c:v>766562.5736</c:v>
                </c:pt>
                <c:pt idx="677">
                  <c:v>767694.0935</c:v>
                </c:pt>
                <c:pt idx="678">
                  <c:v>768825.6135</c:v>
                </c:pt>
                <c:pt idx="679">
                  <c:v>769957.1335</c:v>
                </c:pt>
                <c:pt idx="680">
                  <c:v>771088.6534</c:v>
                </c:pt>
                <c:pt idx="681">
                  <c:v>772220.1734</c:v>
                </c:pt>
                <c:pt idx="682">
                  <c:v>773351.6933</c:v>
                </c:pt>
                <c:pt idx="683">
                  <c:v>774483.2133</c:v>
                </c:pt>
                <c:pt idx="684">
                  <c:v>775614.7333</c:v>
                </c:pt>
                <c:pt idx="685">
                  <c:v>776746.2532</c:v>
                </c:pt>
                <c:pt idx="686">
                  <c:v>777877.7732</c:v>
                </c:pt>
                <c:pt idx="687">
                  <c:v>779009.2931</c:v>
                </c:pt>
                <c:pt idx="688">
                  <c:v>780140.8131</c:v>
                </c:pt>
                <c:pt idx="689">
                  <c:v>781272.3331</c:v>
                </c:pt>
                <c:pt idx="690">
                  <c:v>782403.853</c:v>
                </c:pt>
                <c:pt idx="691">
                  <c:v>783535.373</c:v>
                </c:pt>
                <c:pt idx="692">
                  <c:v>784666.8929</c:v>
                </c:pt>
                <c:pt idx="693">
                  <c:v>785798.4129</c:v>
                </c:pt>
                <c:pt idx="694">
                  <c:v>786929.9329</c:v>
                </c:pt>
                <c:pt idx="695">
                  <c:v>788061.4528</c:v>
                </c:pt>
                <c:pt idx="696">
                  <c:v>789192.9728</c:v>
                </c:pt>
                <c:pt idx="697">
                  <c:v>790324.4927</c:v>
                </c:pt>
                <c:pt idx="698">
                  <c:v>791456.0127</c:v>
                </c:pt>
                <c:pt idx="699">
                  <c:v>792587.5327</c:v>
                </c:pt>
                <c:pt idx="700">
                  <c:v>793719.0526</c:v>
                </c:pt>
                <c:pt idx="701">
                  <c:v>794850.5726</c:v>
                </c:pt>
                <c:pt idx="702">
                  <c:v>795982.0926</c:v>
                </c:pt>
                <c:pt idx="703">
                  <c:v>797113.6125</c:v>
                </c:pt>
                <c:pt idx="704">
                  <c:v>798245.1325</c:v>
                </c:pt>
                <c:pt idx="705">
                  <c:v>799376.6524</c:v>
                </c:pt>
                <c:pt idx="706">
                  <c:v>800508.1724</c:v>
                </c:pt>
                <c:pt idx="707">
                  <c:v>801639.6924</c:v>
                </c:pt>
                <c:pt idx="708">
                  <c:v>802771.2123</c:v>
                </c:pt>
                <c:pt idx="709">
                  <c:v>803902.7323</c:v>
                </c:pt>
                <c:pt idx="710">
                  <c:v>805034.2522</c:v>
                </c:pt>
                <c:pt idx="711">
                  <c:v>806165.7722</c:v>
                </c:pt>
                <c:pt idx="712">
                  <c:v>807297.2922</c:v>
                </c:pt>
                <c:pt idx="713">
                  <c:v>808428.8121</c:v>
                </c:pt>
                <c:pt idx="714">
                  <c:v>809560.3321</c:v>
                </c:pt>
                <c:pt idx="715">
                  <c:v>810691.852</c:v>
                </c:pt>
                <c:pt idx="716">
                  <c:v>811823.372</c:v>
                </c:pt>
                <c:pt idx="717">
                  <c:v>812954.892</c:v>
                </c:pt>
                <c:pt idx="718">
                  <c:v>814086.4119</c:v>
                </c:pt>
                <c:pt idx="719">
                  <c:v>815217.9319</c:v>
                </c:pt>
                <c:pt idx="720">
                  <c:v>816349.4518</c:v>
                </c:pt>
                <c:pt idx="721">
                  <c:v>817480.9718</c:v>
                </c:pt>
                <c:pt idx="722">
                  <c:v>818612.4918</c:v>
                </c:pt>
                <c:pt idx="723">
                  <c:v>819744.0117</c:v>
                </c:pt>
                <c:pt idx="724">
                  <c:v>820875.5317</c:v>
                </c:pt>
                <c:pt idx="725">
                  <c:v>822007.0517</c:v>
                </c:pt>
                <c:pt idx="726">
                  <c:v>823138.5716</c:v>
                </c:pt>
                <c:pt idx="727">
                  <c:v>824270.0916</c:v>
                </c:pt>
                <c:pt idx="728">
                  <c:v>825401.6115</c:v>
                </c:pt>
                <c:pt idx="729">
                  <c:v>826533.1315</c:v>
                </c:pt>
                <c:pt idx="730">
                  <c:v>827664.6515</c:v>
                </c:pt>
                <c:pt idx="731">
                  <c:v>828796.1714</c:v>
                </c:pt>
                <c:pt idx="732">
                  <c:v>829927.6914</c:v>
                </c:pt>
                <c:pt idx="733">
                  <c:v>831059.2113</c:v>
                </c:pt>
                <c:pt idx="734">
                  <c:v>832190.7313</c:v>
                </c:pt>
                <c:pt idx="735">
                  <c:v>833322.2513</c:v>
                </c:pt>
                <c:pt idx="736">
                  <c:v>834453.7712</c:v>
                </c:pt>
                <c:pt idx="737">
                  <c:v>835585.2912</c:v>
                </c:pt>
                <c:pt idx="738">
                  <c:v>836716.8111</c:v>
                </c:pt>
                <c:pt idx="739">
                  <c:v>837848.3311</c:v>
                </c:pt>
                <c:pt idx="740">
                  <c:v>838979.8511</c:v>
                </c:pt>
                <c:pt idx="741">
                  <c:v>840111.371</c:v>
                </c:pt>
                <c:pt idx="742">
                  <c:v>841242.891</c:v>
                </c:pt>
                <c:pt idx="743">
                  <c:v>842374.4109</c:v>
                </c:pt>
                <c:pt idx="744">
                  <c:v>843505.9309</c:v>
                </c:pt>
                <c:pt idx="745">
                  <c:v>844637.4509</c:v>
                </c:pt>
                <c:pt idx="746">
                  <c:v>845768.9708</c:v>
                </c:pt>
                <c:pt idx="747">
                  <c:v>846900.4908</c:v>
                </c:pt>
                <c:pt idx="748">
                  <c:v>848032.0108</c:v>
                </c:pt>
                <c:pt idx="749">
                  <c:v>849163.5307</c:v>
                </c:pt>
                <c:pt idx="750">
                  <c:v>850295.0507</c:v>
                </c:pt>
                <c:pt idx="751">
                  <c:v>851426.5706</c:v>
                </c:pt>
                <c:pt idx="752">
                  <c:v>852558.0906</c:v>
                </c:pt>
                <c:pt idx="753">
                  <c:v>853689.6106</c:v>
                </c:pt>
                <c:pt idx="754">
                  <c:v>854821.1305</c:v>
                </c:pt>
                <c:pt idx="755">
                  <c:v>855952.6505</c:v>
                </c:pt>
                <c:pt idx="756">
                  <c:v>857084.1704</c:v>
                </c:pt>
                <c:pt idx="757">
                  <c:v>858215.6904</c:v>
                </c:pt>
                <c:pt idx="758">
                  <c:v>859347.2104</c:v>
                </c:pt>
                <c:pt idx="759">
                  <c:v>860478.7303</c:v>
                </c:pt>
                <c:pt idx="760">
                  <c:v>861610.2503</c:v>
                </c:pt>
                <c:pt idx="761">
                  <c:v>862741.7702</c:v>
                </c:pt>
                <c:pt idx="762">
                  <c:v>863873.2902</c:v>
                </c:pt>
                <c:pt idx="763">
                  <c:v>865004.8102</c:v>
                </c:pt>
                <c:pt idx="764">
                  <c:v>866136.3301</c:v>
                </c:pt>
                <c:pt idx="765">
                  <c:v>867267.8501</c:v>
                </c:pt>
                <c:pt idx="766">
                  <c:v>868399.37</c:v>
                </c:pt>
                <c:pt idx="767">
                  <c:v>869530.89</c:v>
                </c:pt>
                <c:pt idx="768">
                  <c:v>870662.41</c:v>
                </c:pt>
                <c:pt idx="769">
                  <c:v>871793.9299</c:v>
                </c:pt>
                <c:pt idx="770">
                  <c:v>872925.4499</c:v>
                </c:pt>
                <c:pt idx="771">
                  <c:v>874056.9699</c:v>
                </c:pt>
                <c:pt idx="772">
                  <c:v>875188.4898</c:v>
                </c:pt>
                <c:pt idx="773">
                  <c:v>876320.0098</c:v>
                </c:pt>
                <c:pt idx="774">
                  <c:v>877451.5297</c:v>
                </c:pt>
                <c:pt idx="775">
                  <c:v>878583.0497</c:v>
                </c:pt>
                <c:pt idx="776">
                  <c:v>879714.5697</c:v>
                </c:pt>
                <c:pt idx="777">
                  <c:v>880846.0896</c:v>
                </c:pt>
                <c:pt idx="778">
                  <c:v>881977.6096</c:v>
                </c:pt>
                <c:pt idx="779">
                  <c:v>883109.1295</c:v>
                </c:pt>
                <c:pt idx="780">
                  <c:v>884240.6495</c:v>
                </c:pt>
                <c:pt idx="781">
                  <c:v>885372.1695</c:v>
                </c:pt>
                <c:pt idx="782">
                  <c:v>886503.6894</c:v>
                </c:pt>
                <c:pt idx="783">
                  <c:v>887635.2094</c:v>
                </c:pt>
                <c:pt idx="784">
                  <c:v>888766.7293</c:v>
                </c:pt>
                <c:pt idx="785">
                  <c:v>889898.2493</c:v>
                </c:pt>
                <c:pt idx="786">
                  <c:v>891029.7693</c:v>
                </c:pt>
                <c:pt idx="787">
                  <c:v>892161.2892</c:v>
                </c:pt>
                <c:pt idx="788">
                  <c:v>893292.8092</c:v>
                </c:pt>
                <c:pt idx="789">
                  <c:v>894424.3291</c:v>
                </c:pt>
                <c:pt idx="790">
                  <c:v>895555.8491</c:v>
                </c:pt>
                <c:pt idx="791">
                  <c:v>896687.3691</c:v>
                </c:pt>
                <c:pt idx="792">
                  <c:v>897818.889</c:v>
                </c:pt>
                <c:pt idx="793">
                  <c:v>898950.409</c:v>
                </c:pt>
                <c:pt idx="794">
                  <c:v>900081.929</c:v>
                </c:pt>
                <c:pt idx="795">
                  <c:v>901213.4489</c:v>
                </c:pt>
                <c:pt idx="796">
                  <c:v>902344.9689</c:v>
                </c:pt>
                <c:pt idx="797">
                  <c:v>903476.4888</c:v>
                </c:pt>
                <c:pt idx="798">
                  <c:v>904608.0088</c:v>
                </c:pt>
                <c:pt idx="799">
                  <c:v>905739.5288</c:v>
                </c:pt>
                <c:pt idx="800">
                  <c:v>906871.0487</c:v>
                </c:pt>
                <c:pt idx="801">
                  <c:v>908002.5687</c:v>
                </c:pt>
                <c:pt idx="802">
                  <c:v>909134.0886</c:v>
                </c:pt>
                <c:pt idx="803">
                  <c:v>910265.6086</c:v>
                </c:pt>
                <c:pt idx="804">
                  <c:v>911397.1286</c:v>
                </c:pt>
                <c:pt idx="805">
                  <c:v>912528.6485</c:v>
                </c:pt>
                <c:pt idx="806">
                  <c:v>913660.1685</c:v>
                </c:pt>
                <c:pt idx="807">
                  <c:v>914791.6884</c:v>
                </c:pt>
                <c:pt idx="808">
                  <c:v>915923.2084</c:v>
                </c:pt>
                <c:pt idx="809">
                  <c:v>917054.7284</c:v>
                </c:pt>
                <c:pt idx="810">
                  <c:v>918186.2483</c:v>
                </c:pt>
                <c:pt idx="811">
                  <c:v>919317.7683</c:v>
                </c:pt>
                <c:pt idx="812">
                  <c:v>920449.2883</c:v>
                </c:pt>
                <c:pt idx="813">
                  <c:v>921580.8082</c:v>
                </c:pt>
                <c:pt idx="814">
                  <c:v>922712.3282</c:v>
                </c:pt>
                <c:pt idx="815">
                  <c:v>923843.8481</c:v>
                </c:pt>
                <c:pt idx="816">
                  <c:v>924975.3681</c:v>
                </c:pt>
                <c:pt idx="817">
                  <c:v>926106.8881</c:v>
                </c:pt>
                <c:pt idx="818">
                  <c:v>927238.408</c:v>
                </c:pt>
                <c:pt idx="819">
                  <c:v>928369.928</c:v>
                </c:pt>
                <c:pt idx="820">
                  <c:v>929501.4479</c:v>
                </c:pt>
                <c:pt idx="821">
                  <c:v>930632.9679</c:v>
                </c:pt>
                <c:pt idx="822">
                  <c:v>931764.4879</c:v>
                </c:pt>
                <c:pt idx="823">
                  <c:v>932896.0078</c:v>
                </c:pt>
                <c:pt idx="824">
                  <c:v>934027.5278</c:v>
                </c:pt>
                <c:pt idx="825">
                  <c:v>935159.0477</c:v>
                </c:pt>
                <c:pt idx="826">
                  <c:v>936290.5677</c:v>
                </c:pt>
                <c:pt idx="827">
                  <c:v>937422.0877</c:v>
                </c:pt>
                <c:pt idx="828">
                  <c:v>938553.6076</c:v>
                </c:pt>
                <c:pt idx="829">
                  <c:v>939685.1276</c:v>
                </c:pt>
                <c:pt idx="830">
                  <c:v>940816.6475</c:v>
                </c:pt>
                <c:pt idx="831">
                  <c:v>941948.1675</c:v>
                </c:pt>
                <c:pt idx="832">
                  <c:v>943079.6875</c:v>
                </c:pt>
                <c:pt idx="833">
                  <c:v>944211.2074</c:v>
                </c:pt>
                <c:pt idx="834">
                  <c:v>945342.7274</c:v>
                </c:pt>
                <c:pt idx="835">
                  <c:v>946474.2474</c:v>
                </c:pt>
                <c:pt idx="836">
                  <c:v>947605.7673</c:v>
                </c:pt>
                <c:pt idx="837">
                  <c:v>948737.2873</c:v>
                </c:pt>
                <c:pt idx="838">
                  <c:v>949868.8072</c:v>
                </c:pt>
                <c:pt idx="839">
                  <c:v>951000.3272</c:v>
                </c:pt>
                <c:pt idx="840">
                  <c:v>952131.8472</c:v>
                </c:pt>
                <c:pt idx="841">
                  <c:v>953263.3671</c:v>
                </c:pt>
                <c:pt idx="842">
                  <c:v>954394.8871</c:v>
                </c:pt>
                <c:pt idx="843">
                  <c:v>955526.407</c:v>
                </c:pt>
                <c:pt idx="844">
                  <c:v>956657.927</c:v>
                </c:pt>
                <c:pt idx="845">
                  <c:v>957789.447</c:v>
                </c:pt>
                <c:pt idx="846">
                  <c:v>958920.9669</c:v>
                </c:pt>
                <c:pt idx="847">
                  <c:v>960052.4869</c:v>
                </c:pt>
                <c:pt idx="848">
                  <c:v>961184.0068</c:v>
                </c:pt>
                <c:pt idx="849">
                  <c:v>962315.5268</c:v>
                </c:pt>
                <c:pt idx="850">
                  <c:v>963447.0468</c:v>
                </c:pt>
                <c:pt idx="851">
                  <c:v>964578.5667</c:v>
                </c:pt>
                <c:pt idx="852">
                  <c:v>965710.0867</c:v>
                </c:pt>
                <c:pt idx="853">
                  <c:v>966841.6066</c:v>
                </c:pt>
                <c:pt idx="854">
                  <c:v>967973.1266</c:v>
                </c:pt>
                <c:pt idx="855">
                  <c:v>969104.6466</c:v>
                </c:pt>
                <c:pt idx="856">
                  <c:v>970236.1665</c:v>
                </c:pt>
                <c:pt idx="857">
                  <c:v>971367.6865</c:v>
                </c:pt>
                <c:pt idx="858">
                  <c:v>972499.2065</c:v>
                </c:pt>
                <c:pt idx="859">
                  <c:v>973630.7264</c:v>
                </c:pt>
                <c:pt idx="860">
                  <c:v>974762.2464</c:v>
                </c:pt>
                <c:pt idx="861">
                  <c:v>975893.7663</c:v>
                </c:pt>
                <c:pt idx="862">
                  <c:v>977025.2863</c:v>
                </c:pt>
                <c:pt idx="863">
                  <c:v>978156.8063</c:v>
                </c:pt>
                <c:pt idx="864">
                  <c:v>979288.3262</c:v>
                </c:pt>
                <c:pt idx="865">
                  <c:v>980419.8462</c:v>
                </c:pt>
                <c:pt idx="866">
                  <c:v>981551.3661</c:v>
                </c:pt>
                <c:pt idx="867">
                  <c:v>982682.8861</c:v>
                </c:pt>
                <c:pt idx="868">
                  <c:v>983814.4061</c:v>
                </c:pt>
                <c:pt idx="869">
                  <c:v>984945.926</c:v>
                </c:pt>
                <c:pt idx="870">
                  <c:v>986077.446</c:v>
                </c:pt>
                <c:pt idx="871">
                  <c:v>987208.9659</c:v>
                </c:pt>
                <c:pt idx="872">
                  <c:v>988340.4859</c:v>
                </c:pt>
                <c:pt idx="873">
                  <c:v>989472.0059</c:v>
                </c:pt>
                <c:pt idx="874">
                  <c:v>990603.5258</c:v>
                </c:pt>
                <c:pt idx="875">
                  <c:v>991735.0458</c:v>
                </c:pt>
                <c:pt idx="876">
                  <c:v>992866.5657</c:v>
                </c:pt>
                <c:pt idx="877">
                  <c:v>993998.0857</c:v>
                </c:pt>
                <c:pt idx="878">
                  <c:v>995129.6057</c:v>
                </c:pt>
                <c:pt idx="879">
                  <c:v>996261.1256</c:v>
                </c:pt>
                <c:pt idx="880">
                  <c:v>997392.6456</c:v>
                </c:pt>
                <c:pt idx="881">
                  <c:v>998524.1656</c:v>
                </c:pt>
                <c:pt idx="882">
                  <c:v>999655.6855</c:v>
                </c:pt>
                <c:pt idx="883">
                  <c:v>1000787.205</c:v>
                </c:pt>
                <c:pt idx="884">
                  <c:v>1001918.725</c:v>
                </c:pt>
                <c:pt idx="885">
                  <c:v>1003050.245</c:v>
                </c:pt>
                <c:pt idx="886">
                  <c:v>1004181.765</c:v>
                </c:pt>
                <c:pt idx="887">
                  <c:v>1005313.285</c:v>
                </c:pt>
                <c:pt idx="888">
                  <c:v>1006444.805</c:v>
                </c:pt>
                <c:pt idx="889">
                  <c:v>1007576.325</c:v>
                </c:pt>
                <c:pt idx="890">
                  <c:v>1008707.845</c:v>
                </c:pt>
                <c:pt idx="891">
                  <c:v>1009839.365</c:v>
                </c:pt>
                <c:pt idx="892">
                  <c:v>1010970.885</c:v>
                </c:pt>
                <c:pt idx="893">
                  <c:v>1012102.405</c:v>
                </c:pt>
                <c:pt idx="894">
                  <c:v>1013233.925</c:v>
                </c:pt>
                <c:pt idx="895">
                  <c:v>1014365.445</c:v>
                </c:pt>
                <c:pt idx="896">
                  <c:v>1015496.965</c:v>
                </c:pt>
                <c:pt idx="897">
                  <c:v>1016628.485</c:v>
                </c:pt>
                <c:pt idx="898">
                  <c:v>1017760.005</c:v>
                </c:pt>
                <c:pt idx="899">
                  <c:v>1018891.525</c:v>
                </c:pt>
                <c:pt idx="900">
                  <c:v>1020023.045</c:v>
                </c:pt>
                <c:pt idx="901">
                  <c:v>1021154.565</c:v>
                </c:pt>
                <c:pt idx="902">
                  <c:v>1022286.085</c:v>
                </c:pt>
                <c:pt idx="903">
                  <c:v>1023417.605</c:v>
                </c:pt>
                <c:pt idx="904">
                  <c:v>1024549.125</c:v>
                </c:pt>
                <c:pt idx="905">
                  <c:v>1025680.645</c:v>
                </c:pt>
                <c:pt idx="906">
                  <c:v>1026812.165</c:v>
                </c:pt>
                <c:pt idx="907">
                  <c:v>1027943.685</c:v>
                </c:pt>
                <c:pt idx="908">
                  <c:v>1029075.204</c:v>
                </c:pt>
                <c:pt idx="909">
                  <c:v>1030206.724</c:v>
                </c:pt>
                <c:pt idx="910">
                  <c:v>1031338.244</c:v>
                </c:pt>
                <c:pt idx="911">
                  <c:v>1032469.764</c:v>
                </c:pt>
                <c:pt idx="912">
                  <c:v>1033601.284</c:v>
                </c:pt>
                <c:pt idx="913">
                  <c:v>1034732.804</c:v>
                </c:pt>
                <c:pt idx="914">
                  <c:v>1035864.324</c:v>
                </c:pt>
                <c:pt idx="915">
                  <c:v>1036995.844</c:v>
                </c:pt>
                <c:pt idx="916">
                  <c:v>1038127.364</c:v>
                </c:pt>
                <c:pt idx="917">
                  <c:v>1039258.884</c:v>
                </c:pt>
                <c:pt idx="918">
                  <c:v>1040390.404</c:v>
                </c:pt>
                <c:pt idx="919">
                  <c:v>1041521.924</c:v>
                </c:pt>
                <c:pt idx="920">
                  <c:v>1042653.444</c:v>
                </c:pt>
                <c:pt idx="921">
                  <c:v>1043784.964</c:v>
                </c:pt>
                <c:pt idx="922">
                  <c:v>1044916.484</c:v>
                </c:pt>
                <c:pt idx="923">
                  <c:v>1046048.004</c:v>
                </c:pt>
                <c:pt idx="924">
                  <c:v>1047179.524</c:v>
                </c:pt>
                <c:pt idx="925">
                  <c:v>1048311.044</c:v>
                </c:pt>
                <c:pt idx="926">
                  <c:v>1049442.564</c:v>
                </c:pt>
                <c:pt idx="927">
                  <c:v>1050574.084</c:v>
                </c:pt>
                <c:pt idx="928">
                  <c:v>1051705.604</c:v>
                </c:pt>
                <c:pt idx="929">
                  <c:v>1052837.124</c:v>
                </c:pt>
                <c:pt idx="930">
                  <c:v>1053968.644</c:v>
                </c:pt>
                <c:pt idx="931">
                  <c:v>1055100.164</c:v>
                </c:pt>
                <c:pt idx="932">
                  <c:v>1056231.684</c:v>
                </c:pt>
                <c:pt idx="933">
                  <c:v>1057363.204</c:v>
                </c:pt>
                <c:pt idx="934">
                  <c:v>1058494.723</c:v>
                </c:pt>
                <c:pt idx="935">
                  <c:v>1059626.243</c:v>
                </c:pt>
                <c:pt idx="936">
                  <c:v>1060757.763</c:v>
                </c:pt>
                <c:pt idx="937">
                  <c:v>1061889.283</c:v>
                </c:pt>
                <c:pt idx="938">
                  <c:v>1063020.803</c:v>
                </c:pt>
                <c:pt idx="939">
                  <c:v>1064152.323</c:v>
                </c:pt>
                <c:pt idx="940">
                  <c:v>1065283.843</c:v>
                </c:pt>
                <c:pt idx="941">
                  <c:v>1066415.363</c:v>
                </c:pt>
                <c:pt idx="942">
                  <c:v>1067546.883</c:v>
                </c:pt>
                <c:pt idx="943">
                  <c:v>1068678.403</c:v>
                </c:pt>
                <c:pt idx="944">
                  <c:v>1069809.923</c:v>
                </c:pt>
                <c:pt idx="945">
                  <c:v>1070941.443</c:v>
                </c:pt>
                <c:pt idx="946">
                  <c:v>1072072.963</c:v>
                </c:pt>
                <c:pt idx="947">
                  <c:v>1073204.483</c:v>
                </c:pt>
                <c:pt idx="948">
                  <c:v>1074336.003</c:v>
                </c:pt>
                <c:pt idx="949">
                  <c:v>1075467.523</c:v>
                </c:pt>
                <c:pt idx="950">
                  <c:v>1076599.043</c:v>
                </c:pt>
                <c:pt idx="951">
                  <c:v>1077730.563</c:v>
                </c:pt>
                <c:pt idx="952">
                  <c:v>1078862.083</c:v>
                </c:pt>
                <c:pt idx="953">
                  <c:v>1079993.603</c:v>
                </c:pt>
                <c:pt idx="954">
                  <c:v>1081125.123</c:v>
                </c:pt>
                <c:pt idx="955">
                  <c:v>1082256.643</c:v>
                </c:pt>
                <c:pt idx="956">
                  <c:v>1083388.163</c:v>
                </c:pt>
                <c:pt idx="957">
                  <c:v>1084519.683</c:v>
                </c:pt>
                <c:pt idx="958">
                  <c:v>1085651.203</c:v>
                </c:pt>
                <c:pt idx="959">
                  <c:v>1086782.723</c:v>
                </c:pt>
                <c:pt idx="960">
                  <c:v>1087914.242</c:v>
                </c:pt>
                <c:pt idx="961">
                  <c:v>1089045.762</c:v>
                </c:pt>
                <c:pt idx="962">
                  <c:v>1090177.282</c:v>
                </c:pt>
                <c:pt idx="963">
                  <c:v>1091308.802</c:v>
                </c:pt>
                <c:pt idx="964">
                  <c:v>1092440.322</c:v>
                </c:pt>
                <c:pt idx="965">
                  <c:v>1093571.842</c:v>
                </c:pt>
                <c:pt idx="966">
                  <c:v>1094703.362</c:v>
                </c:pt>
                <c:pt idx="967">
                  <c:v>1095834.882</c:v>
                </c:pt>
                <c:pt idx="968">
                  <c:v>1096966.402</c:v>
                </c:pt>
                <c:pt idx="969">
                  <c:v>1098097.922</c:v>
                </c:pt>
                <c:pt idx="970">
                  <c:v>1099229.442</c:v>
                </c:pt>
                <c:pt idx="971">
                  <c:v>1100360.962</c:v>
                </c:pt>
                <c:pt idx="972">
                  <c:v>1101492.482</c:v>
                </c:pt>
                <c:pt idx="973">
                  <c:v>1102624.002</c:v>
                </c:pt>
                <c:pt idx="974">
                  <c:v>1103755.522</c:v>
                </c:pt>
                <c:pt idx="975">
                  <c:v>1104887.042</c:v>
                </c:pt>
                <c:pt idx="976">
                  <c:v>1106018.562</c:v>
                </c:pt>
                <c:pt idx="977">
                  <c:v>1107150.082</c:v>
                </c:pt>
                <c:pt idx="978">
                  <c:v>1108281.602</c:v>
                </c:pt>
                <c:pt idx="979">
                  <c:v>1109413.122</c:v>
                </c:pt>
                <c:pt idx="980">
                  <c:v>1110544.642</c:v>
                </c:pt>
                <c:pt idx="981">
                  <c:v>1111676.162</c:v>
                </c:pt>
                <c:pt idx="982">
                  <c:v>1112807.682</c:v>
                </c:pt>
                <c:pt idx="983">
                  <c:v>1113939.202</c:v>
                </c:pt>
                <c:pt idx="984">
                  <c:v>1115070.722</c:v>
                </c:pt>
                <c:pt idx="985">
                  <c:v>1116202.241</c:v>
                </c:pt>
                <c:pt idx="986">
                  <c:v>1117333.761</c:v>
                </c:pt>
                <c:pt idx="987">
                  <c:v>1118465.281</c:v>
                </c:pt>
                <c:pt idx="988">
                  <c:v>1119596.801</c:v>
                </c:pt>
                <c:pt idx="989">
                  <c:v>1120728.321</c:v>
                </c:pt>
                <c:pt idx="990">
                  <c:v>1121859.841</c:v>
                </c:pt>
                <c:pt idx="991">
                  <c:v>1122991.361</c:v>
                </c:pt>
                <c:pt idx="992">
                  <c:v>1124122.881</c:v>
                </c:pt>
                <c:pt idx="993">
                  <c:v>1125254.401</c:v>
                </c:pt>
                <c:pt idx="994">
                  <c:v>1126385.921</c:v>
                </c:pt>
                <c:pt idx="995">
                  <c:v>1127517.441</c:v>
                </c:pt>
                <c:pt idx="996">
                  <c:v>1128648.961</c:v>
                </c:pt>
                <c:pt idx="997">
                  <c:v>1129780.481</c:v>
                </c:pt>
                <c:pt idx="998">
                  <c:v>1130912.001</c:v>
                </c:pt>
                <c:pt idx="999">
                  <c:v>1132043.521</c:v>
                </c:pt>
                <c:pt idx="1000">
                  <c:v>1133175.041</c:v>
                </c:pt>
                <c:pt idx="1001">
                  <c:v>1134306.561</c:v>
                </c:pt>
                <c:pt idx="1002">
                  <c:v>1135438.081</c:v>
                </c:pt>
                <c:pt idx="1003">
                  <c:v>1136569.601</c:v>
                </c:pt>
                <c:pt idx="1004">
                  <c:v>1137701.121</c:v>
                </c:pt>
                <c:pt idx="1005">
                  <c:v>1138832.641</c:v>
                </c:pt>
                <c:pt idx="1006">
                  <c:v>1139964.161</c:v>
                </c:pt>
                <c:pt idx="1007">
                  <c:v>1141095.681</c:v>
                </c:pt>
                <c:pt idx="1008">
                  <c:v>1142227.201</c:v>
                </c:pt>
                <c:pt idx="1009">
                  <c:v>1143358.721</c:v>
                </c:pt>
                <c:pt idx="1010">
                  <c:v>1144490.241</c:v>
                </c:pt>
                <c:pt idx="1011">
                  <c:v>1145621.76</c:v>
                </c:pt>
                <c:pt idx="1012">
                  <c:v>1146753.28</c:v>
                </c:pt>
                <c:pt idx="1013">
                  <c:v>1147884.8</c:v>
                </c:pt>
                <c:pt idx="1014">
                  <c:v>1149016.32</c:v>
                </c:pt>
                <c:pt idx="1015">
                  <c:v>1150147.84</c:v>
                </c:pt>
                <c:pt idx="1016">
                  <c:v>1151279.36</c:v>
                </c:pt>
                <c:pt idx="1017">
                  <c:v>1152410.88</c:v>
                </c:pt>
                <c:pt idx="1018">
                  <c:v>1153542.4</c:v>
                </c:pt>
                <c:pt idx="1019">
                  <c:v>1154673.92</c:v>
                </c:pt>
                <c:pt idx="1020">
                  <c:v>1155805.44</c:v>
                </c:pt>
                <c:pt idx="1021">
                  <c:v>1156936.96</c:v>
                </c:pt>
                <c:pt idx="1022">
                  <c:v>1158068.48</c:v>
                </c:pt>
                <c:pt idx="1023">
                  <c:v>More</c:v>
                </c:pt>
              </c:strCache>
            </c:strRef>
          </c:cat>
          <c:val>
            <c:numRef>
              <c:f>'Histogram Bins'!$B$2:$B$1025</c:f>
              <c:numCache>
                <c:formatCode>General</c:formatCode>
                <c:ptCount val="1024"/>
                <c:pt idx="0">
                  <c:v>1</c:v>
                </c:pt>
                <c:pt idx="1">
                  <c:v>10</c:v>
                </c:pt>
                <c:pt idx="2">
                  <c:v>11</c:v>
                </c:pt>
                <c:pt idx="3">
                  <c:v>21</c:v>
                </c:pt>
                <c:pt idx="4">
                  <c:v>6</c:v>
                </c:pt>
                <c:pt idx="5">
                  <c:v>13</c:v>
                </c:pt>
                <c:pt idx="6">
                  <c:v>15</c:v>
                </c:pt>
                <c:pt idx="7">
                  <c:v>18</c:v>
                </c:pt>
                <c:pt idx="8">
                  <c:v>24</c:v>
                </c:pt>
                <c:pt idx="9">
                  <c:v>8</c:v>
                </c:pt>
                <c:pt idx="10">
                  <c:v>13</c:v>
                </c:pt>
                <c:pt idx="11">
                  <c:v>11</c:v>
                </c:pt>
                <c:pt idx="12">
                  <c:v>19</c:v>
                </c:pt>
                <c:pt idx="13">
                  <c:v>10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9</c:v>
                </c:pt>
                <c:pt idx="18">
                  <c:v>15</c:v>
                </c:pt>
                <c:pt idx="19">
                  <c:v>12</c:v>
                </c:pt>
                <c:pt idx="20">
                  <c:v>7</c:v>
                </c:pt>
                <c:pt idx="21">
                  <c:v>7</c:v>
                </c:pt>
                <c:pt idx="22">
                  <c:v>13</c:v>
                </c:pt>
                <c:pt idx="23">
                  <c:v>5</c:v>
                </c:pt>
                <c:pt idx="24">
                  <c:v>16</c:v>
                </c:pt>
                <c:pt idx="25">
                  <c:v>10</c:v>
                </c:pt>
                <c:pt idx="26">
                  <c:v>15</c:v>
                </c:pt>
                <c:pt idx="27">
                  <c:v>3</c:v>
                </c:pt>
                <c:pt idx="28">
                  <c:v>9</c:v>
                </c:pt>
                <c:pt idx="29">
                  <c:v>7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4</c:v>
                </c:pt>
                <c:pt idx="34">
                  <c:v>5</c:v>
                </c:pt>
                <c:pt idx="35">
                  <c:v>3</c:v>
                </c:pt>
                <c:pt idx="36">
                  <c:v>1</c:v>
                </c:pt>
                <c:pt idx="37">
                  <c:v>5</c:v>
                </c:pt>
                <c:pt idx="38">
                  <c:v>3</c:v>
                </c:pt>
                <c:pt idx="39">
                  <c:v>0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4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3</c:v>
                </c:pt>
                <c:pt idx="80">
                  <c:v>4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3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2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0</c:v>
                </c:pt>
                <c:pt idx="139">
                  <c:v>0</c:v>
                </c:pt>
                <c:pt idx="140">
                  <c:v>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2</c:v>
                </c:pt>
                <c:pt idx="152">
                  <c:v>0</c:v>
                </c:pt>
                <c:pt idx="153">
                  <c:v>0</c:v>
                </c:pt>
                <c:pt idx="154">
                  <c:v>2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4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0</c:v>
                </c:pt>
                <c:pt idx="185">
                  <c:v>2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</c:v>
                </c:pt>
                <c:pt idx="197">
                  <c:v>0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2</c:v>
                </c:pt>
                <c:pt idx="204">
                  <c:v>0</c:v>
                </c:pt>
                <c:pt idx="205">
                  <c:v>2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2</c:v>
                </c:pt>
                <c:pt idx="210">
                  <c:v>3</c:v>
                </c:pt>
                <c:pt idx="211">
                  <c:v>2</c:v>
                </c:pt>
                <c:pt idx="212">
                  <c:v>0</c:v>
                </c:pt>
                <c:pt idx="213">
                  <c:v>1</c:v>
                </c:pt>
                <c:pt idx="214">
                  <c:v>2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0</c:v>
                </c:pt>
                <c:pt idx="231">
                  <c:v>3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2</c:v>
                </c:pt>
                <c:pt idx="240">
                  <c:v>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3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3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2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</c:v>
                </c:pt>
                <c:pt idx="311">
                  <c:v>1</c:v>
                </c:pt>
                <c:pt idx="312">
                  <c:v>2</c:v>
                </c:pt>
                <c:pt idx="313">
                  <c:v>1</c:v>
                </c:pt>
                <c:pt idx="314">
                  <c:v>2</c:v>
                </c:pt>
                <c:pt idx="315">
                  <c:v>0</c:v>
                </c:pt>
                <c:pt idx="316">
                  <c:v>2</c:v>
                </c:pt>
                <c:pt idx="317">
                  <c:v>0</c:v>
                </c:pt>
                <c:pt idx="318">
                  <c:v>2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0</c:v>
                </c:pt>
                <c:pt idx="339">
                  <c:v>0</c:v>
                </c:pt>
                <c:pt idx="340">
                  <c:v>3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2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2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2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2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2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2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2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2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2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2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1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1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1</c:v>
                </c:pt>
                <c:pt idx="644">
                  <c:v>0</c:v>
                </c:pt>
                <c:pt idx="645">
                  <c:v>2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2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2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2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8-4DC7-A099-5ED99420D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352015"/>
        <c:axId val="576364079"/>
      </c:barChart>
      <c:catAx>
        <c:axId val="576352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76364079"/>
        <c:crosses val="autoZero"/>
        <c:auto val="1"/>
        <c:lblAlgn val="ctr"/>
        <c:lblOffset val="100"/>
        <c:noMultiLvlLbl val="0"/>
      </c:catAx>
      <c:valAx>
        <c:axId val="576364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76352015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Excel File.xlsx]Graphical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'Graphical Analysis'!$B$3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'Graphical Analysis'!$A$4:$A$9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'Graphical Analysis'!$B$4:$B$9</c:f>
              <c:numCache>
                <c:formatCode>General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D-4F65-91CC-07855978894C}"/>
            </c:ext>
          </c:extLst>
        </c:ser>
        <c:ser>
          <c:idx val="1"/>
          <c:order val="1"/>
          <c:tx>
            <c:strRef>
              <c:f>'Graphical Analysis'!$C$3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'Graphical Analysis'!$A$4:$A$9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'Graphical Analysis'!$C$4:$C$9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D-4F65-91CC-078559788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4537615"/>
        <c:axId val="631319055"/>
      </c:barChart>
      <c:catAx>
        <c:axId val="63453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19055"/>
        <c:crosses val="autoZero"/>
        <c:auto val="1"/>
        <c:lblAlgn val="ctr"/>
        <c:lblOffset val="100"/>
        <c:noMultiLvlLbl val="0"/>
      </c:catAx>
      <c:valAx>
        <c:axId val="63131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53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Excel File.xlsx]Graphical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'Graphical Analysis'!$B$15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'Graphical Analysis'!$A$16:$A$21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'Graphical Analysis'!$B$16:$B$21</c:f>
              <c:numCache>
                <c:formatCode>General</c:formatCode>
                <c:ptCount val="5"/>
                <c:pt idx="0">
                  <c:v>161263.5</c:v>
                </c:pt>
                <c:pt idx="1">
                  <c:v>168552</c:v>
                </c:pt>
                <c:pt idx="2">
                  <c:v>470673.5</c:v>
                </c:pt>
                <c:pt idx="3">
                  <c:v>172178</c:v>
                </c:pt>
                <c:pt idx="4">
                  <c:v>153139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8-4D63-8108-818D6514D26B}"/>
            </c:ext>
          </c:extLst>
        </c:ser>
        <c:ser>
          <c:idx val="1"/>
          <c:order val="1"/>
          <c:tx>
            <c:strRef>
              <c:f>'Graphical Analysis'!$C$15</c:f>
              <c:strCache>
                <c:ptCount val="1"/>
                <c:pt idx="0">
                  <c:v>Sum of Gross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'Graphical Analysis'!$A$16:$A$21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'Graphical Analysis'!$C$16:$C$21</c:f>
              <c:numCache>
                <c:formatCode>General</c:formatCode>
                <c:ptCount val="5"/>
                <c:pt idx="0">
                  <c:v>1935162</c:v>
                </c:pt>
                <c:pt idx="1">
                  <c:v>21069000</c:v>
                </c:pt>
                <c:pt idx="2">
                  <c:v>56403066.5</c:v>
                </c:pt>
                <c:pt idx="3">
                  <c:v>2582670</c:v>
                </c:pt>
                <c:pt idx="4">
                  <c:v>45941700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8-4D63-8108-818D6514D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710335"/>
        <c:axId val="640721983"/>
      </c:barChart>
      <c:catAx>
        <c:axId val="64071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21983"/>
        <c:crosses val="autoZero"/>
        <c:auto val="1"/>
        <c:lblAlgn val="ctr"/>
        <c:lblOffset val="100"/>
        <c:noMultiLvlLbl val="0"/>
      </c:catAx>
      <c:valAx>
        <c:axId val="64072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1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Excel File.xlsx]Graphical Analysis!PivotTable2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'Graphical Analysis'!$B$37</c:f>
              <c:strCache>
                <c:ptCount val="1"/>
                <c:pt idx="0">
                  <c:v>Sum of Sale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'Graphical Analysis'!$A$38:$A$44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'Graphical Analysis'!$B$38:$B$44</c:f>
              <c:numCache>
                <c:formatCode>General</c:formatCode>
                <c:ptCount val="6"/>
                <c:pt idx="0">
                  <c:v>12096</c:v>
                </c:pt>
                <c:pt idx="1">
                  <c:v>10395</c:v>
                </c:pt>
                <c:pt idx="2">
                  <c:v>10890</c:v>
                </c:pt>
                <c:pt idx="3">
                  <c:v>21852</c:v>
                </c:pt>
                <c:pt idx="4">
                  <c:v>12561</c:v>
                </c:pt>
                <c:pt idx="5">
                  <c:v>15106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E-4E2B-BD91-5AF6DDD7EE7E}"/>
            </c:ext>
          </c:extLst>
        </c:ser>
        <c:ser>
          <c:idx val="1"/>
          <c:order val="1"/>
          <c:tx>
            <c:strRef>
              <c:f>'Graphical Analysis'!$C$37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'Graphical Analysis'!$A$38:$A$44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'Graphical Analysis'!$C$38:$C$44</c:f>
              <c:numCache>
                <c:formatCode>General</c:formatCode>
                <c:ptCount val="6"/>
                <c:pt idx="0">
                  <c:v>2814104.06</c:v>
                </c:pt>
                <c:pt idx="1">
                  <c:v>1826804.8849999998</c:v>
                </c:pt>
                <c:pt idx="2">
                  <c:v>2114754.8800000004</c:v>
                </c:pt>
                <c:pt idx="3">
                  <c:v>4797437.9499999993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0E-4E2B-BD91-5AF6DDD7E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021791"/>
        <c:axId val="632016799"/>
      </c:lineChart>
      <c:catAx>
        <c:axId val="63202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16799"/>
        <c:crosses val="autoZero"/>
        <c:auto val="1"/>
        <c:lblAlgn val="ctr"/>
        <c:lblOffset val="100"/>
        <c:noMultiLvlLbl val="0"/>
      </c:catAx>
      <c:valAx>
        <c:axId val="63201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2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n-US"/>
              <a:t>Profit Distribution: USA and Canada</a:t>
            </a:r>
          </a:p>
        </cx:rich>
      </cx:tx>
    </cx:title>
    <cx:plotArea>
      <cx:plotAreaRegion>
        <cx:series layoutId="boxWhisker" uniqueId="{D89710B1-BCE4-4BAD-870A-8617527D8CDF}">
          <cx:tx>
            <cx:txData>
              <cx:f>_xlchart.1</cx:f>
              <cx:v>Profit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Units sold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'Sactter plot data'!$B$1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'Sactter plot data'!$A$2:$A$701</c:f>
              <c:numCache>
                <c:formatCode>General</c:formatCode>
                <c:ptCount val="700"/>
                <c:pt idx="0">
                  <c:v>1618.5</c:v>
                </c:pt>
                <c:pt idx="1">
                  <c:v>1321</c:v>
                </c:pt>
                <c:pt idx="2">
                  <c:v>2178</c:v>
                </c:pt>
                <c:pt idx="3">
                  <c:v>888</c:v>
                </c:pt>
                <c:pt idx="4">
                  <c:v>2470</c:v>
                </c:pt>
                <c:pt idx="5">
                  <c:v>1513</c:v>
                </c:pt>
                <c:pt idx="6">
                  <c:v>921</c:v>
                </c:pt>
                <c:pt idx="7">
                  <c:v>2518</c:v>
                </c:pt>
                <c:pt idx="8">
                  <c:v>1899</c:v>
                </c:pt>
                <c:pt idx="9">
                  <c:v>1545</c:v>
                </c:pt>
                <c:pt idx="10">
                  <c:v>2470</c:v>
                </c:pt>
                <c:pt idx="11">
                  <c:v>2665.5</c:v>
                </c:pt>
                <c:pt idx="12">
                  <c:v>958</c:v>
                </c:pt>
                <c:pt idx="13">
                  <c:v>2146</c:v>
                </c:pt>
                <c:pt idx="14">
                  <c:v>345</c:v>
                </c:pt>
                <c:pt idx="15">
                  <c:v>615</c:v>
                </c:pt>
                <c:pt idx="16">
                  <c:v>292</c:v>
                </c:pt>
                <c:pt idx="17">
                  <c:v>974</c:v>
                </c:pt>
                <c:pt idx="18">
                  <c:v>2518</c:v>
                </c:pt>
                <c:pt idx="19">
                  <c:v>1006</c:v>
                </c:pt>
                <c:pt idx="20">
                  <c:v>367</c:v>
                </c:pt>
                <c:pt idx="21">
                  <c:v>883</c:v>
                </c:pt>
                <c:pt idx="22">
                  <c:v>549</c:v>
                </c:pt>
                <c:pt idx="23">
                  <c:v>788</c:v>
                </c:pt>
                <c:pt idx="24">
                  <c:v>2472</c:v>
                </c:pt>
                <c:pt idx="25">
                  <c:v>1143</c:v>
                </c:pt>
                <c:pt idx="26">
                  <c:v>1725</c:v>
                </c:pt>
                <c:pt idx="27">
                  <c:v>912</c:v>
                </c:pt>
                <c:pt idx="28">
                  <c:v>2152</c:v>
                </c:pt>
                <c:pt idx="29">
                  <c:v>1817</c:v>
                </c:pt>
                <c:pt idx="30">
                  <c:v>1513</c:v>
                </c:pt>
                <c:pt idx="31">
                  <c:v>1493</c:v>
                </c:pt>
                <c:pt idx="32">
                  <c:v>1804</c:v>
                </c:pt>
                <c:pt idx="33">
                  <c:v>2161</c:v>
                </c:pt>
                <c:pt idx="34">
                  <c:v>1006</c:v>
                </c:pt>
                <c:pt idx="35">
                  <c:v>1545</c:v>
                </c:pt>
                <c:pt idx="36">
                  <c:v>2821</c:v>
                </c:pt>
                <c:pt idx="37">
                  <c:v>345</c:v>
                </c:pt>
                <c:pt idx="38">
                  <c:v>2001</c:v>
                </c:pt>
                <c:pt idx="39">
                  <c:v>2838</c:v>
                </c:pt>
                <c:pt idx="40">
                  <c:v>2178</c:v>
                </c:pt>
                <c:pt idx="41">
                  <c:v>888</c:v>
                </c:pt>
                <c:pt idx="42">
                  <c:v>1527</c:v>
                </c:pt>
                <c:pt idx="43">
                  <c:v>2151</c:v>
                </c:pt>
                <c:pt idx="44">
                  <c:v>1817</c:v>
                </c:pt>
                <c:pt idx="45">
                  <c:v>2750</c:v>
                </c:pt>
                <c:pt idx="46">
                  <c:v>1953</c:v>
                </c:pt>
                <c:pt idx="47">
                  <c:v>4219.5</c:v>
                </c:pt>
                <c:pt idx="48">
                  <c:v>1899</c:v>
                </c:pt>
                <c:pt idx="49">
                  <c:v>1686</c:v>
                </c:pt>
                <c:pt idx="50">
                  <c:v>2141</c:v>
                </c:pt>
                <c:pt idx="51">
                  <c:v>1143</c:v>
                </c:pt>
                <c:pt idx="52">
                  <c:v>615</c:v>
                </c:pt>
                <c:pt idx="53">
                  <c:v>3945</c:v>
                </c:pt>
                <c:pt idx="54">
                  <c:v>2296</c:v>
                </c:pt>
                <c:pt idx="55">
                  <c:v>1030</c:v>
                </c:pt>
                <c:pt idx="56">
                  <c:v>639</c:v>
                </c:pt>
                <c:pt idx="57">
                  <c:v>1326</c:v>
                </c:pt>
                <c:pt idx="58">
                  <c:v>1858</c:v>
                </c:pt>
                <c:pt idx="59">
                  <c:v>1210</c:v>
                </c:pt>
                <c:pt idx="60">
                  <c:v>2529</c:v>
                </c:pt>
                <c:pt idx="61">
                  <c:v>1445</c:v>
                </c:pt>
                <c:pt idx="62">
                  <c:v>330</c:v>
                </c:pt>
                <c:pt idx="63">
                  <c:v>2671</c:v>
                </c:pt>
                <c:pt idx="64">
                  <c:v>766</c:v>
                </c:pt>
                <c:pt idx="65">
                  <c:v>494</c:v>
                </c:pt>
                <c:pt idx="66">
                  <c:v>1397</c:v>
                </c:pt>
                <c:pt idx="67">
                  <c:v>2155</c:v>
                </c:pt>
                <c:pt idx="68">
                  <c:v>2214</c:v>
                </c:pt>
                <c:pt idx="69">
                  <c:v>2301</c:v>
                </c:pt>
                <c:pt idx="70">
                  <c:v>1375.5</c:v>
                </c:pt>
                <c:pt idx="71">
                  <c:v>1830</c:v>
                </c:pt>
                <c:pt idx="72">
                  <c:v>2498</c:v>
                </c:pt>
                <c:pt idx="73">
                  <c:v>663</c:v>
                </c:pt>
                <c:pt idx="74">
                  <c:v>1514</c:v>
                </c:pt>
                <c:pt idx="75">
                  <c:v>4492.5</c:v>
                </c:pt>
                <c:pt idx="76">
                  <c:v>727</c:v>
                </c:pt>
                <c:pt idx="77">
                  <c:v>787</c:v>
                </c:pt>
                <c:pt idx="78">
                  <c:v>1823</c:v>
                </c:pt>
                <c:pt idx="79">
                  <c:v>747</c:v>
                </c:pt>
                <c:pt idx="80">
                  <c:v>766</c:v>
                </c:pt>
                <c:pt idx="81">
                  <c:v>2905</c:v>
                </c:pt>
                <c:pt idx="82">
                  <c:v>2155</c:v>
                </c:pt>
                <c:pt idx="83">
                  <c:v>3864</c:v>
                </c:pt>
                <c:pt idx="84">
                  <c:v>362</c:v>
                </c:pt>
                <c:pt idx="85">
                  <c:v>923</c:v>
                </c:pt>
                <c:pt idx="86">
                  <c:v>663</c:v>
                </c:pt>
                <c:pt idx="87">
                  <c:v>2092</c:v>
                </c:pt>
                <c:pt idx="88">
                  <c:v>263</c:v>
                </c:pt>
                <c:pt idx="89">
                  <c:v>943.5</c:v>
                </c:pt>
                <c:pt idx="90">
                  <c:v>727</c:v>
                </c:pt>
                <c:pt idx="91">
                  <c:v>787</c:v>
                </c:pt>
                <c:pt idx="92">
                  <c:v>986</c:v>
                </c:pt>
                <c:pt idx="93">
                  <c:v>494</c:v>
                </c:pt>
                <c:pt idx="94">
                  <c:v>1397</c:v>
                </c:pt>
                <c:pt idx="95">
                  <c:v>1744</c:v>
                </c:pt>
                <c:pt idx="96">
                  <c:v>1989</c:v>
                </c:pt>
                <c:pt idx="97">
                  <c:v>321</c:v>
                </c:pt>
                <c:pt idx="98">
                  <c:v>742.5</c:v>
                </c:pt>
                <c:pt idx="99">
                  <c:v>1295</c:v>
                </c:pt>
                <c:pt idx="100">
                  <c:v>214</c:v>
                </c:pt>
                <c:pt idx="101">
                  <c:v>2145</c:v>
                </c:pt>
                <c:pt idx="102">
                  <c:v>2852</c:v>
                </c:pt>
                <c:pt idx="103">
                  <c:v>1142</c:v>
                </c:pt>
                <c:pt idx="104">
                  <c:v>1566</c:v>
                </c:pt>
                <c:pt idx="105">
                  <c:v>690</c:v>
                </c:pt>
                <c:pt idx="106">
                  <c:v>1660</c:v>
                </c:pt>
                <c:pt idx="107">
                  <c:v>2363</c:v>
                </c:pt>
                <c:pt idx="108">
                  <c:v>918</c:v>
                </c:pt>
                <c:pt idx="109">
                  <c:v>1728</c:v>
                </c:pt>
                <c:pt idx="110">
                  <c:v>1142</c:v>
                </c:pt>
                <c:pt idx="111">
                  <c:v>662</c:v>
                </c:pt>
                <c:pt idx="112">
                  <c:v>1295</c:v>
                </c:pt>
                <c:pt idx="113">
                  <c:v>809</c:v>
                </c:pt>
                <c:pt idx="114">
                  <c:v>2145</c:v>
                </c:pt>
                <c:pt idx="115">
                  <c:v>1785</c:v>
                </c:pt>
                <c:pt idx="116">
                  <c:v>1916</c:v>
                </c:pt>
                <c:pt idx="117">
                  <c:v>2852</c:v>
                </c:pt>
                <c:pt idx="118">
                  <c:v>2729</c:v>
                </c:pt>
                <c:pt idx="119">
                  <c:v>1925</c:v>
                </c:pt>
                <c:pt idx="120">
                  <c:v>2013</c:v>
                </c:pt>
                <c:pt idx="121">
                  <c:v>1055</c:v>
                </c:pt>
                <c:pt idx="122">
                  <c:v>1084</c:v>
                </c:pt>
                <c:pt idx="123">
                  <c:v>1566</c:v>
                </c:pt>
                <c:pt idx="124">
                  <c:v>2966</c:v>
                </c:pt>
                <c:pt idx="125">
                  <c:v>2877</c:v>
                </c:pt>
                <c:pt idx="126">
                  <c:v>809</c:v>
                </c:pt>
                <c:pt idx="127">
                  <c:v>2145</c:v>
                </c:pt>
                <c:pt idx="128">
                  <c:v>1055</c:v>
                </c:pt>
                <c:pt idx="129">
                  <c:v>544</c:v>
                </c:pt>
                <c:pt idx="130">
                  <c:v>1084</c:v>
                </c:pt>
                <c:pt idx="131">
                  <c:v>662</c:v>
                </c:pt>
                <c:pt idx="132">
                  <c:v>214</c:v>
                </c:pt>
                <c:pt idx="133">
                  <c:v>2877</c:v>
                </c:pt>
                <c:pt idx="134">
                  <c:v>2729</c:v>
                </c:pt>
                <c:pt idx="135">
                  <c:v>266</c:v>
                </c:pt>
                <c:pt idx="136">
                  <c:v>1940</c:v>
                </c:pt>
                <c:pt idx="137">
                  <c:v>259</c:v>
                </c:pt>
                <c:pt idx="138">
                  <c:v>1101</c:v>
                </c:pt>
                <c:pt idx="139">
                  <c:v>2276</c:v>
                </c:pt>
                <c:pt idx="140">
                  <c:v>2966</c:v>
                </c:pt>
                <c:pt idx="141">
                  <c:v>1236</c:v>
                </c:pt>
                <c:pt idx="142">
                  <c:v>941</c:v>
                </c:pt>
                <c:pt idx="143">
                  <c:v>1916</c:v>
                </c:pt>
                <c:pt idx="144">
                  <c:v>4243.5</c:v>
                </c:pt>
                <c:pt idx="145">
                  <c:v>2580</c:v>
                </c:pt>
                <c:pt idx="146">
                  <c:v>689</c:v>
                </c:pt>
                <c:pt idx="147">
                  <c:v>1947</c:v>
                </c:pt>
                <c:pt idx="148">
                  <c:v>908</c:v>
                </c:pt>
                <c:pt idx="149">
                  <c:v>1958</c:v>
                </c:pt>
                <c:pt idx="150">
                  <c:v>1901</c:v>
                </c:pt>
                <c:pt idx="151">
                  <c:v>544</c:v>
                </c:pt>
                <c:pt idx="152">
                  <c:v>1797</c:v>
                </c:pt>
                <c:pt idx="153">
                  <c:v>1287</c:v>
                </c:pt>
                <c:pt idx="154">
                  <c:v>1706</c:v>
                </c:pt>
                <c:pt idx="155">
                  <c:v>2434.5</c:v>
                </c:pt>
                <c:pt idx="156">
                  <c:v>1774</c:v>
                </c:pt>
                <c:pt idx="157">
                  <c:v>1901</c:v>
                </c:pt>
                <c:pt idx="158">
                  <c:v>689</c:v>
                </c:pt>
                <c:pt idx="159">
                  <c:v>1570</c:v>
                </c:pt>
                <c:pt idx="160">
                  <c:v>1369.5</c:v>
                </c:pt>
                <c:pt idx="161">
                  <c:v>2009</c:v>
                </c:pt>
                <c:pt idx="162">
                  <c:v>1945</c:v>
                </c:pt>
                <c:pt idx="163">
                  <c:v>1287</c:v>
                </c:pt>
                <c:pt idx="164">
                  <c:v>1706</c:v>
                </c:pt>
                <c:pt idx="165">
                  <c:v>2009</c:v>
                </c:pt>
                <c:pt idx="166">
                  <c:v>2844</c:v>
                </c:pt>
                <c:pt idx="167">
                  <c:v>1916</c:v>
                </c:pt>
                <c:pt idx="168">
                  <c:v>1570</c:v>
                </c:pt>
                <c:pt idx="169">
                  <c:v>1874</c:v>
                </c:pt>
                <c:pt idx="170">
                  <c:v>1642</c:v>
                </c:pt>
                <c:pt idx="171">
                  <c:v>1945</c:v>
                </c:pt>
                <c:pt idx="172">
                  <c:v>831</c:v>
                </c:pt>
                <c:pt idx="173">
                  <c:v>1760</c:v>
                </c:pt>
                <c:pt idx="174">
                  <c:v>3850.5</c:v>
                </c:pt>
                <c:pt idx="175">
                  <c:v>2479</c:v>
                </c:pt>
                <c:pt idx="176">
                  <c:v>2031</c:v>
                </c:pt>
                <c:pt idx="177">
                  <c:v>2031</c:v>
                </c:pt>
                <c:pt idx="178">
                  <c:v>2261</c:v>
                </c:pt>
                <c:pt idx="179">
                  <c:v>736</c:v>
                </c:pt>
                <c:pt idx="180">
                  <c:v>2851</c:v>
                </c:pt>
                <c:pt idx="181">
                  <c:v>2021</c:v>
                </c:pt>
                <c:pt idx="182">
                  <c:v>274</c:v>
                </c:pt>
                <c:pt idx="183">
                  <c:v>1967</c:v>
                </c:pt>
                <c:pt idx="184">
                  <c:v>1859</c:v>
                </c:pt>
                <c:pt idx="185">
                  <c:v>2851</c:v>
                </c:pt>
                <c:pt idx="186">
                  <c:v>2021</c:v>
                </c:pt>
                <c:pt idx="187">
                  <c:v>1138</c:v>
                </c:pt>
                <c:pt idx="188">
                  <c:v>4251</c:v>
                </c:pt>
                <c:pt idx="189">
                  <c:v>795</c:v>
                </c:pt>
                <c:pt idx="190">
                  <c:v>1414.5</c:v>
                </c:pt>
                <c:pt idx="191">
                  <c:v>2918</c:v>
                </c:pt>
                <c:pt idx="192">
                  <c:v>3450</c:v>
                </c:pt>
                <c:pt idx="193">
                  <c:v>2988</c:v>
                </c:pt>
                <c:pt idx="194">
                  <c:v>218</c:v>
                </c:pt>
                <c:pt idx="195">
                  <c:v>2074</c:v>
                </c:pt>
                <c:pt idx="196">
                  <c:v>1056</c:v>
                </c:pt>
                <c:pt idx="197">
                  <c:v>671</c:v>
                </c:pt>
                <c:pt idx="198">
                  <c:v>1514</c:v>
                </c:pt>
                <c:pt idx="199">
                  <c:v>274</c:v>
                </c:pt>
                <c:pt idx="200">
                  <c:v>1138</c:v>
                </c:pt>
                <c:pt idx="201">
                  <c:v>1465</c:v>
                </c:pt>
                <c:pt idx="202">
                  <c:v>2646</c:v>
                </c:pt>
                <c:pt idx="203">
                  <c:v>2177</c:v>
                </c:pt>
                <c:pt idx="204">
                  <c:v>866</c:v>
                </c:pt>
                <c:pt idx="205">
                  <c:v>349</c:v>
                </c:pt>
                <c:pt idx="206">
                  <c:v>2177</c:v>
                </c:pt>
                <c:pt idx="207">
                  <c:v>1514</c:v>
                </c:pt>
                <c:pt idx="208">
                  <c:v>1865</c:v>
                </c:pt>
                <c:pt idx="209">
                  <c:v>1074</c:v>
                </c:pt>
                <c:pt idx="210">
                  <c:v>1907</c:v>
                </c:pt>
                <c:pt idx="211">
                  <c:v>671</c:v>
                </c:pt>
                <c:pt idx="212">
                  <c:v>1778</c:v>
                </c:pt>
                <c:pt idx="213">
                  <c:v>1159</c:v>
                </c:pt>
                <c:pt idx="214">
                  <c:v>1372</c:v>
                </c:pt>
                <c:pt idx="215">
                  <c:v>2349</c:v>
                </c:pt>
                <c:pt idx="216">
                  <c:v>2689</c:v>
                </c:pt>
                <c:pt idx="217">
                  <c:v>2431</c:v>
                </c:pt>
                <c:pt idx="218">
                  <c:v>2431</c:v>
                </c:pt>
                <c:pt idx="219">
                  <c:v>2689</c:v>
                </c:pt>
                <c:pt idx="220">
                  <c:v>1683</c:v>
                </c:pt>
                <c:pt idx="221">
                  <c:v>1123</c:v>
                </c:pt>
                <c:pt idx="222">
                  <c:v>1159</c:v>
                </c:pt>
                <c:pt idx="223">
                  <c:v>1865</c:v>
                </c:pt>
                <c:pt idx="224">
                  <c:v>1116</c:v>
                </c:pt>
                <c:pt idx="225">
                  <c:v>1563</c:v>
                </c:pt>
                <c:pt idx="226">
                  <c:v>991</c:v>
                </c:pt>
                <c:pt idx="227">
                  <c:v>1016</c:v>
                </c:pt>
                <c:pt idx="228">
                  <c:v>2791</c:v>
                </c:pt>
                <c:pt idx="229">
                  <c:v>570</c:v>
                </c:pt>
                <c:pt idx="230">
                  <c:v>2487</c:v>
                </c:pt>
                <c:pt idx="231">
                  <c:v>1384.5</c:v>
                </c:pt>
                <c:pt idx="232">
                  <c:v>3627</c:v>
                </c:pt>
                <c:pt idx="233">
                  <c:v>720</c:v>
                </c:pt>
                <c:pt idx="234">
                  <c:v>2342</c:v>
                </c:pt>
                <c:pt idx="235">
                  <c:v>1100</c:v>
                </c:pt>
                <c:pt idx="236">
                  <c:v>1303</c:v>
                </c:pt>
                <c:pt idx="237">
                  <c:v>2992</c:v>
                </c:pt>
                <c:pt idx="238">
                  <c:v>2385</c:v>
                </c:pt>
                <c:pt idx="239">
                  <c:v>1607</c:v>
                </c:pt>
                <c:pt idx="240">
                  <c:v>2327</c:v>
                </c:pt>
                <c:pt idx="241">
                  <c:v>991</c:v>
                </c:pt>
                <c:pt idx="242">
                  <c:v>602</c:v>
                </c:pt>
                <c:pt idx="243">
                  <c:v>2620</c:v>
                </c:pt>
                <c:pt idx="244">
                  <c:v>1228</c:v>
                </c:pt>
                <c:pt idx="245">
                  <c:v>1389</c:v>
                </c:pt>
                <c:pt idx="246">
                  <c:v>861</c:v>
                </c:pt>
                <c:pt idx="247">
                  <c:v>704</c:v>
                </c:pt>
                <c:pt idx="248">
                  <c:v>1802</c:v>
                </c:pt>
                <c:pt idx="249">
                  <c:v>2663</c:v>
                </c:pt>
                <c:pt idx="250">
                  <c:v>2136</c:v>
                </c:pt>
                <c:pt idx="251">
                  <c:v>2116</c:v>
                </c:pt>
                <c:pt idx="252">
                  <c:v>555</c:v>
                </c:pt>
                <c:pt idx="253">
                  <c:v>2861</c:v>
                </c:pt>
                <c:pt idx="254">
                  <c:v>807</c:v>
                </c:pt>
                <c:pt idx="255">
                  <c:v>602</c:v>
                </c:pt>
                <c:pt idx="256">
                  <c:v>2832</c:v>
                </c:pt>
                <c:pt idx="257">
                  <c:v>1579</c:v>
                </c:pt>
                <c:pt idx="258">
                  <c:v>861</c:v>
                </c:pt>
                <c:pt idx="259">
                  <c:v>704</c:v>
                </c:pt>
                <c:pt idx="260">
                  <c:v>1033</c:v>
                </c:pt>
                <c:pt idx="261">
                  <c:v>1250</c:v>
                </c:pt>
                <c:pt idx="262">
                  <c:v>1389</c:v>
                </c:pt>
                <c:pt idx="263">
                  <c:v>1265</c:v>
                </c:pt>
                <c:pt idx="264">
                  <c:v>2297</c:v>
                </c:pt>
                <c:pt idx="265">
                  <c:v>2663</c:v>
                </c:pt>
                <c:pt idx="266">
                  <c:v>570</c:v>
                </c:pt>
                <c:pt idx="267">
                  <c:v>2487</c:v>
                </c:pt>
                <c:pt idx="268">
                  <c:v>1350</c:v>
                </c:pt>
                <c:pt idx="269">
                  <c:v>552</c:v>
                </c:pt>
                <c:pt idx="270">
                  <c:v>1228</c:v>
                </c:pt>
                <c:pt idx="271">
                  <c:v>1250</c:v>
                </c:pt>
                <c:pt idx="272">
                  <c:v>3801</c:v>
                </c:pt>
                <c:pt idx="273">
                  <c:v>1117.5</c:v>
                </c:pt>
                <c:pt idx="274">
                  <c:v>2844</c:v>
                </c:pt>
                <c:pt idx="275">
                  <c:v>562</c:v>
                </c:pt>
                <c:pt idx="276">
                  <c:v>2299</c:v>
                </c:pt>
                <c:pt idx="277">
                  <c:v>2030</c:v>
                </c:pt>
                <c:pt idx="278">
                  <c:v>263</c:v>
                </c:pt>
                <c:pt idx="279">
                  <c:v>887</c:v>
                </c:pt>
                <c:pt idx="280">
                  <c:v>980</c:v>
                </c:pt>
                <c:pt idx="281">
                  <c:v>1460</c:v>
                </c:pt>
                <c:pt idx="282">
                  <c:v>1403</c:v>
                </c:pt>
                <c:pt idx="283">
                  <c:v>2723</c:v>
                </c:pt>
                <c:pt idx="284">
                  <c:v>1496</c:v>
                </c:pt>
                <c:pt idx="285">
                  <c:v>2299</c:v>
                </c:pt>
                <c:pt idx="286">
                  <c:v>727</c:v>
                </c:pt>
                <c:pt idx="287">
                  <c:v>952</c:v>
                </c:pt>
                <c:pt idx="288">
                  <c:v>2755</c:v>
                </c:pt>
                <c:pt idx="289">
                  <c:v>1530</c:v>
                </c:pt>
                <c:pt idx="290">
                  <c:v>1496</c:v>
                </c:pt>
                <c:pt idx="291">
                  <c:v>1498</c:v>
                </c:pt>
                <c:pt idx="292">
                  <c:v>1221</c:v>
                </c:pt>
                <c:pt idx="293">
                  <c:v>2076</c:v>
                </c:pt>
                <c:pt idx="294">
                  <c:v>2844</c:v>
                </c:pt>
                <c:pt idx="295">
                  <c:v>1498</c:v>
                </c:pt>
                <c:pt idx="296">
                  <c:v>1221</c:v>
                </c:pt>
                <c:pt idx="297">
                  <c:v>1123</c:v>
                </c:pt>
                <c:pt idx="298">
                  <c:v>2436</c:v>
                </c:pt>
                <c:pt idx="299">
                  <c:v>1987.5</c:v>
                </c:pt>
                <c:pt idx="300">
                  <c:v>1679</c:v>
                </c:pt>
                <c:pt idx="301">
                  <c:v>727</c:v>
                </c:pt>
                <c:pt idx="302">
                  <c:v>1403</c:v>
                </c:pt>
                <c:pt idx="303">
                  <c:v>2076</c:v>
                </c:pt>
                <c:pt idx="304">
                  <c:v>1757</c:v>
                </c:pt>
                <c:pt idx="305">
                  <c:v>2198</c:v>
                </c:pt>
                <c:pt idx="306">
                  <c:v>1743</c:v>
                </c:pt>
                <c:pt idx="307">
                  <c:v>1153</c:v>
                </c:pt>
                <c:pt idx="308">
                  <c:v>1757</c:v>
                </c:pt>
                <c:pt idx="309">
                  <c:v>1001</c:v>
                </c:pt>
                <c:pt idx="310">
                  <c:v>1333</c:v>
                </c:pt>
                <c:pt idx="311">
                  <c:v>1153</c:v>
                </c:pt>
                <c:pt idx="312">
                  <c:v>727</c:v>
                </c:pt>
                <c:pt idx="313">
                  <c:v>1884</c:v>
                </c:pt>
                <c:pt idx="314">
                  <c:v>1834</c:v>
                </c:pt>
                <c:pt idx="315">
                  <c:v>2340</c:v>
                </c:pt>
                <c:pt idx="316">
                  <c:v>2342</c:v>
                </c:pt>
                <c:pt idx="317">
                  <c:v>1031</c:v>
                </c:pt>
                <c:pt idx="318">
                  <c:v>1262</c:v>
                </c:pt>
                <c:pt idx="319">
                  <c:v>1135</c:v>
                </c:pt>
                <c:pt idx="320">
                  <c:v>547</c:v>
                </c:pt>
                <c:pt idx="321">
                  <c:v>1582</c:v>
                </c:pt>
                <c:pt idx="322">
                  <c:v>1738.5</c:v>
                </c:pt>
                <c:pt idx="323">
                  <c:v>2215</c:v>
                </c:pt>
                <c:pt idx="324">
                  <c:v>1582</c:v>
                </c:pt>
                <c:pt idx="325">
                  <c:v>1135</c:v>
                </c:pt>
                <c:pt idx="326">
                  <c:v>1761</c:v>
                </c:pt>
                <c:pt idx="327">
                  <c:v>448</c:v>
                </c:pt>
                <c:pt idx="328">
                  <c:v>2181</c:v>
                </c:pt>
                <c:pt idx="329">
                  <c:v>1976</c:v>
                </c:pt>
                <c:pt idx="330">
                  <c:v>2181</c:v>
                </c:pt>
                <c:pt idx="331">
                  <c:v>2500</c:v>
                </c:pt>
                <c:pt idx="332">
                  <c:v>1702</c:v>
                </c:pt>
                <c:pt idx="333">
                  <c:v>448</c:v>
                </c:pt>
                <c:pt idx="334">
                  <c:v>3513</c:v>
                </c:pt>
                <c:pt idx="335">
                  <c:v>2101</c:v>
                </c:pt>
                <c:pt idx="336">
                  <c:v>2931</c:v>
                </c:pt>
                <c:pt idx="337">
                  <c:v>1535</c:v>
                </c:pt>
                <c:pt idx="338">
                  <c:v>1123</c:v>
                </c:pt>
                <c:pt idx="339">
                  <c:v>1404</c:v>
                </c:pt>
                <c:pt idx="340">
                  <c:v>2763</c:v>
                </c:pt>
                <c:pt idx="341">
                  <c:v>2125</c:v>
                </c:pt>
                <c:pt idx="342">
                  <c:v>1659</c:v>
                </c:pt>
                <c:pt idx="343">
                  <c:v>609</c:v>
                </c:pt>
                <c:pt idx="344">
                  <c:v>2087</c:v>
                </c:pt>
                <c:pt idx="345">
                  <c:v>1976</c:v>
                </c:pt>
                <c:pt idx="346">
                  <c:v>1421</c:v>
                </c:pt>
                <c:pt idx="347">
                  <c:v>1372</c:v>
                </c:pt>
                <c:pt idx="348">
                  <c:v>588</c:v>
                </c:pt>
                <c:pt idx="349">
                  <c:v>3244.5</c:v>
                </c:pt>
                <c:pt idx="350">
                  <c:v>959</c:v>
                </c:pt>
                <c:pt idx="351">
                  <c:v>2747</c:v>
                </c:pt>
                <c:pt idx="352">
                  <c:v>1645</c:v>
                </c:pt>
                <c:pt idx="353">
                  <c:v>2876</c:v>
                </c:pt>
                <c:pt idx="354">
                  <c:v>994</c:v>
                </c:pt>
                <c:pt idx="355">
                  <c:v>1118</c:v>
                </c:pt>
                <c:pt idx="356">
                  <c:v>1372</c:v>
                </c:pt>
                <c:pt idx="357">
                  <c:v>488</c:v>
                </c:pt>
                <c:pt idx="358">
                  <c:v>1282</c:v>
                </c:pt>
                <c:pt idx="359">
                  <c:v>257</c:v>
                </c:pt>
                <c:pt idx="360">
                  <c:v>1282</c:v>
                </c:pt>
                <c:pt idx="361">
                  <c:v>1540</c:v>
                </c:pt>
                <c:pt idx="362">
                  <c:v>490</c:v>
                </c:pt>
                <c:pt idx="363">
                  <c:v>1362</c:v>
                </c:pt>
                <c:pt idx="364">
                  <c:v>2501</c:v>
                </c:pt>
                <c:pt idx="365">
                  <c:v>708</c:v>
                </c:pt>
                <c:pt idx="366">
                  <c:v>645</c:v>
                </c:pt>
                <c:pt idx="367">
                  <c:v>1562</c:v>
                </c:pt>
                <c:pt idx="368">
                  <c:v>1283</c:v>
                </c:pt>
                <c:pt idx="369">
                  <c:v>711</c:v>
                </c:pt>
                <c:pt idx="370">
                  <c:v>1114</c:v>
                </c:pt>
                <c:pt idx="371">
                  <c:v>1259</c:v>
                </c:pt>
                <c:pt idx="372">
                  <c:v>1095</c:v>
                </c:pt>
                <c:pt idx="373">
                  <c:v>1366</c:v>
                </c:pt>
                <c:pt idx="374">
                  <c:v>2460</c:v>
                </c:pt>
                <c:pt idx="375">
                  <c:v>678</c:v>
                </c:pt>
                <c:pt idx="376">
                  <c:v>1598</c:v>
                </c:pt>
                <c:pt idx="377">
                  <c:v>2409</c:v>
                </c:pt>
                <c:pt idx="378">
                  <c:v>1934</c:v>
                </c:pt>
                <c:pt idx="379">
                  <c:v>2993</c:v>
                </c:pt>
                <c:pt idx="380">
                  <c:v>2146</c:v>
                </c:pt>
                <c:pt idx="381">
                  <c:v>1946</c:v>
                </c:pt>
                <c:pt idx="382">
                  <c:v>1362</c:v>
                </c:pt>
                <c:pt idx="383">
                  <c:v>598</c:v>
                </c:pt>
                <c:pt idx="384">
                  <c:v>2907</c:v>
                </c:pt>
                <c:pt idx="385">
                  <c:v>2338</c:v>
                </c:pt>
                <c:pt idx="386">
                  <c:v>386</c:v>
                </c:pt>
                <c:pt idx="387">
                  <c:v>635</c:v>
                </c:pt>
                <c:pt idx="388">
                  <c:v>574.5</c:v>
                </c:pt>
                <c:pt idx="389">
                  <c:v>2338</c:v>
                </c:pt>
                <c:pt idx="390">
                  <c:v>381</c:v>
                </c:pt>
                <c:pt idx="391">
                  <c:v>422</c:v>
                </c:pt>
                <c:pt idx="392">
                  <c:v>2134</c:v>
                </c:pt>
                <c:pt idx="393">
                  <c:v>808</c:v>
                </c:pt>
                <c:pt idx="394">
                  <c:v>708</c:v>
                </c:pt>
                <c:pt idx="395">
                  <c:v>2907</c:v>
                </c:pt>
                <c:pt idx="396">
                  <c:v>1366</c:v>
                </c:pt>
                <c:pt idx="397">
                  <c:v>2460</c:v>
                </c:pt>
                <c:pt idx="398">
                  <c:v>1520</c:v>
                </c:pt>
                <c:pt idx="399">
                  <c:v>711</c:v>
                </c:pt>
                <c:pt idx="400">
                  <c:v>1375</c:v>
                </c:pt>
                <c:pt idx="401">
                  <c:v>635</c:v>
                </c:pt>
                <c:pt idx="402">
                  <c:v>436.5</c:v>
                </c:pt>
                <c:pt idx="403">
                  <c:v>1094</c:v>
                </c:pt>
                <c:pt idx="404">
                  <c:v>367</c:v>
                </c:pt>
                <c:pt idx="405">
                  <c:v>3802.5</c:v>
                </c:pt>
                <c:pt idx="406">
                  <c:v>1666</c:v>
                </c:pt>
                <c:pt idx="407">
                  <c:v>322</c:v>
                </c:pt>
                <c:pt idx="408">
                  <c:v>2321</c:v>
                </c:pt>
                <c:pt idx="409">
                  <c:v>1857</c:v>
                </c:pt>
                <c:pt idx="410">
                  <c:v>1611</c:v>
                </c:pt>
                <c:pt idx="411">
                  <c:v>2797</c:v>
                </c:pt>
                <c:pt idx="412">
                  <c:v>334</c:v>
                </c:pt>
                <c:pt idx="413">
                  <c:v>2565</c:v>
                </c:pt>
                <c:pt idx="414">
                  <c:v>2417</c:v>
                </c:pt>
                <c:pt idx="415">
                  <c:v>3675</c:v>
                </c:pt>
                <c:pt idx="416">
                  <c:v>1094</c:v>
                </c:pt>
                <c:pt idx="417">
                  <c:v>1227</c:v>
                </c:pt>
                <c:pt idx="418">
                  <c:v>367</c:v>
                </c:pt>
                <c:pt idx="419">
                  <c:v>1324</c:v>
                </c:pt>
                <c:pt idx="420">
                  <c:v>1775</c:v>
                </c:pt>
                <c:pt idx="421">
                  <c:v>2797</c:v>
                </c:pt>
                <c:pt idx="422">
                  <c:v>245</c:v>
                </c:pt>
                <c:pt idx="423">
                  <c:v>3793.5</c:v>
                </c:pt>
                <c:pt idx="424">
                  <c:v>1307</c:v>
                </c:pt>
                <c:pt idx="425">
                  <c:v>567</c:v>
                </c:pt>
                <c:pt idx="426">
                  <c:v>2110</c:v>
                </c:pt>
                <c:pt idx="427">
                  <c:v>1269</c:v>
                </c:pt>
                <c:pt idx="428">
                  <c:v>1956</c:v>
                </c:pt>
                <c:pt idx="429">
                  <c:v>2659</c:v>
                </c:pt>
                <c:pt idx="430">
                  <c:v>1351.5</c:v>
                </c:pt>
                <c:pt idx="431">
                  <c:v>880</c:v>
                </c:pt>
                <c:pt idx="432">
                  <c:v>1867</c:v>
                </c:pt>
                <c:pt idx="433">
                  <c:v>2234</c:v>
                </c:pt>
                <c:pt idx="434">
                  <c:v>1227</c:v>
                </c:pt>
                <c:pt idx="435">
                  <c:v>877</c:v>
                </c:pt>
                <c:pt idx="436">
                  <c:v>2071</c:v>
                </c:pt>
                <c:pt idx="437">
                  <c:v>1269</c:v>
                </c:pt>
                <c:pt idx="438">
                  <c:v>970</c:v>
                </c:pt>
                <c:pt idx="439">
                  <c:v>1694</c:v>
                </c:pt>
                <c:pt idx="440">
                  <c:v>663</c:v>
                </c:pt>
                <c:pt idx="441">
                  <c:v>819</c:v>
                </c:pt>
                <c:pt idx="442">
                  <c:v>1580</c:v>
                </c:pt>
                <c:pt idx="443">
                  <c:v>521</c:v>
                </c:pt>
                <c:pt idx="444">
                  <c:v>973</c:v>
                </c:pt>
                <c:pt idx="445">
                  <c:v>1038</c:v>
                </c:pt>
                <c:pt idx="446">
                  <c:v>360</c:v>
                </c:pt>
                <c:pt idx="447">
                  <c:v>1967</c:v>
                </c:pt>
                <c:pt idx="448">
                  <c:v>2628</c:v>
                </c:pt>
                <c:pt idx="449">
                  <c:v>360</c:v>
                </c:pt>
                <c:pt idx="450">
                  <c:v>2682</c:v>
                </c:pt>
                <c:pt idx="451">
                  <c:v>521</c:v>
                </c:pt>
                <c:pt idx="452">
                  <c:v>1038</c:v>
                </c:pt>
                <c:pt idx="453">
                  <c:v>1630.5</c:v>
                </c:pt>
                <c:pt idx="454">
                  <c:v>306</c:v>
                </c:pt>
                <c:pt idx="455">
                  <c:v>386</c:v>
                </c:pt>
                <c:pt idx="456">
                  <c:v>2328</c:v>
                </c:pt>
                <c:pt idx="457">
                  <c:v>386</c:v>
                </c:pt>
                <c:pt idx="458">
                  <c:v>3445.5</c:v>
                </c:pt>
                <c:pt idx="459">
                  <c:v>1482</c:v>
                </c:pt>
                <c:pt idx="460">
                  <c:v>2313</c:v>
                </c:pt>
                <c:pt idx="461">
                  <c:v>1804</c:v>
                </c:pt>
                <c:pt idx="462">
                  <c:v>2072</c:v>
                </c:pt>
                <c:pt idx="463">
                  <c:v>1954</c:v>
                </c:pt>
                <c:pt idx="464">
                  <c:v>591</c:v>
                </c:pt>
                <c:pt idx="465">
                  <c:v>2167</c:v>
                </c:pt>
                <c:pt idx="466">
                  <c:v>241</c:v>
                </c:pt>
                <c:pt idx="467">
                  <c:v>681</c:v>
                </c:pt>
                <c:pt idx="468">
                  <c:v>510</c:v>
                </c:pt>
                <c:pt idx="469">
                  <c:v>790</c:v>
                </c:pt>
                <c:pt idx="470">
                  <c:v>639</c:v>
                </c:pt>
                <c:pt idx="471">
                  <c:v>1596</c:v>
                </c:pt>
                <c:pt idx="472">
                  <c:v>2294</c:v>
                </c:pt>
                <c:pt idx="473">
                  <c:v>241</c:v>
                </c:pt>
                <c:pt idx="474">
                  <c:v>2665</c:v>
                </c:pt>
                <c:pt idx="475">
                  <c:v>1916</c:v>
                </c:pt>
                <c:pt idx="476">
                  <c:v>853</c:v>
                </c:pt>
                <c:pt idx="477">
                  <c:v>341</c:v>
                </c:pt>
                <c:pt idx="478">
                  <c:v>641</c:v>
                </c:pt>
                <c:pt idx="479">
                  <c:v>2807</c:v>
                </c:pt>
                <c:pt idx="480">
                  <c:v>432</c:v>
                </c:pt>
                <c:pt idx="481">
                  <c:v>2294</c:v>
                </c:pt>
                <c:pt idx="482">
                  <c:v>2167</c:v>
                </c:pt>
                <c:pt idx="483">
                  <c:v>2529</c:v>
                </c:pt>
                <c:pt idx="484">
                  <c:v>1870</c:v>
                </c:pt>
                <c:pt idx="485">
                  <c:v>579</c:v>
                </c:pt>
                <c:pt idx="486">
                  <c:v>2240</c:v>
                </c:pt>
                <c:pt idx="487">
                  <c:v>2993</c:v>
                </c:pt>
                <c:pt idx="488">
                  <c:v>3520.5</c:v>
                </c:pt>
                <c:pt idx="489">
                  <c:v>2039</c:v>
                </c:pt>
                <c:pt idx="490">
                  <c:v>2574</c:v>
                </c:pt>
                <c:pt idx="491">
                  <c:v>707</c:v>
                </c:pt>
                <c:pt idx="492">
                  <c:v>2072</c:v>
                </c:pt>
                <c:pt idx="493">
                  <c:v>853</c:v>
                </c:pt>
                <c:pt idx="494">
                  <c:v>1198</c:v>
                </c:pt>
                <c:pt idx="495">
                  <c:v>2532</c:v>
                </c:pt>
                <c:pt idx="496">
                  <c:v>1198</c:v>
                </c:pt>
                <c:pt idx="497">
                  <c:v>384</c:v>
                </c:pt>
                <c:pt idx="498">
                  <c:v>472</c:v>
                </c:pt>
                <c:pt idx="499">
                  <c:v>1579</c:v>
                </c:pt>
                <c:pt idx="500">
                  <c:v>1005</c:v>
                </c:pt>
                <c:pt idx="501">
                  <c:v>3199.5</c:v>
                </c:pt>
                <c:pt idx="502">
                  <c:v>472</c:v>
                </c:pt>
                <c:pt idx="503">
                  <c:v>1937</c:v>
                </c:pt>
                <c:pt idx="504">
                  <c:v>792</c:v>
                </c:pt>
                <c:pt idx="505">
                  <c:v>2811</c:v>
                </c:pt>
                <c:pt idx="506">
                  <c:v>2441</c:v>
                </c:pt>
                <c:pt idx="507">
                  <c:v>1560</c:v>
                </c:pt>
                <c:pt idx="508">
                  <c:v>2706</c:v>
                </c:pt>
                <c:pt idx="509">
                  <c:v>766</c:v>
                </c:pt>
                <c:pt idx="510">
                  <c:v>2992</c:v>
                </c:pt>
                <c:pt idx="511">
                  <c:v>2157</c:v>
                </c:pt>
                <c:pt idx="512">
                  <c:v>873</c:v>
                </c:pt>
                <c:pt idx="513">
                  <c:v>1122</c:v>
                </c:pt>
                <c:pt idx="514">
                  <c:v>2104.5</c:v>
                </c:pt>
                <c:pt idx="515">
                  <c:v>4026</c:v>
                </c:pt>
                <c:pt idx="516">
                  <c:v>2425.5</c:v>
                </c:pt>
                <c:pt idx="517">
                  <c:v>2394</c:v>
                </c:pt>
                <c:pt idx="518">
                  <c:v>1984</c:v>
                </c:pt>
                <c:pt idx="519">
                  <c:v>2441</c:v>
                </c:pt>
                <c:pt idx="520">
                  <c:v>2992</c:v>
                </c:pt>
                <c:pt idx="521">
                  <c:v>1366</c:v>
                </c:pt>
                <c:pt idx="522">
                  <c:v>2805</c:v>
                </c:pt>
                <c:pt idx="523">
                  <c:v>655</c:v>
                </c:pt>
                <c:pt idx="524">
                  <c:v>344</c:v>
                </c:pt>
                <c:pt idx="525">
                  <c:v>1808</c:v>
                </c:pt>
                <c:pt idx="526">
                  <c:v>1734</c:v>
                </c:pt>
                <c:pt idx="527">
                  <c:v>554</c:v>
                </c:pt>
                <c:pt idx="528">
                  <c:v>2935</c:v>
                </c:pt>
                <c:pt idx="529">
                  <c:v>3165</c:v>
                </c:pt>
                <c:pt idx="530">
                  <c:v>2629</c:v>
                </c:pt>
                <c:pt idx="531">
                  <c:v>1433</c:v>
                </c:pt>
                <c:pt idx="532">
                  <c:v>947</c:v>
                </c:pt>
                <c:pt idx="533">
                  <c:v>344</c:v>
                </c:pt>
                <c:pt idx="534">
                  <c:v>2157</c:v>
                </c:pt>
                <c:pt idx="535">
                  <c:v>380</c:v>
                </c:pt>
                <c:pt idx="536">
                  <c:v>886</c:v>
                </c:pt>
                <c:pt idx="537">
                  <c:v>2416</c:v>
                </c:pt>
                <c:pt idx="538">
                  <c:v>2156</c:v>
                </c:pt>
                <c:pt idx="539">
                  <c:v>2689</c:v>
                </c:pt>
                <c:pt idx="540">
                  <c:v>677</c:v>
                </c:pt>
                <c:pt idx="541">
                  <c:v>1773</c:v>
                </c:pt>
                <c:pt idx="542">
                  <c:v>2420</c:v>
                </c:pt>
                <c:pt idx="543">
                  <c:v>2734</c:v>
                </c:pt>
                <c:pt idx="544">
                  <c:v>1715</c:v>
                </c:pt>
                <c:pt idx="545">
                  <c:v>1186</c:v>
                </c:pt>
                <c:pt idx="546">
                  <c:v>3495</c:v>
                </c:pt>
                <c:pt idx="547">
                  <c:v>886</c:v>
                </c:pt>
                <c:pt idx="548">
                  <c:v>2156</c:v>
                </c:pt>
                <c:pt idx="549">
                  <c:v>905</c:v>
                </c:pt>
                <c:pt idx="550">
                  <c:v>1715</c:v>
                </c:pt>
                <c:pt idx="551">
                  <c:v>1594</c:v>
                </c:pt>
                <c:pt idx="552">
                  <c:v>1359</c:v>
                </c:pt>
                <c:pt idx="553">
                  <c:v>2150</c:v>
                </c:pt>
                <c:pt idx="554">
                  <c:v>1197</c:v>
                </c:pt>
                <c:pt idx="555">
                  <c:v>380</c:v>
                </c:pt>
                <c:pt idx="556">
                  <c:v>1233</c:v>
                </c:pt>
                <c:pt idx="557">
                  <c:v>1395</c:v>
                </c:pt>
                <c:pt idx="558">
                  <c:v>986</c:v>
                </c:pt>
                <c:pt idx="559">
                  <c:v>905</c:v>
                </c:pt>
                <c:pt idx="560">
                  <c:v>2109</c:v>
                </c:pt>
                <c:pt idx="561">
                  <c:v>3874.5</c:v>
                </c:pt>
                <c:pt idx="562">
                  <c:v>623</c:v>
                </c:pt>
                <c:pt idx="563">
                  <c:v>986</c:v>
                </c:pt>
                <c:pt idx="564">
                  <c:v>2387</c:v>
                </c:pt>
                <c:pt idx="565">
                  <c:v>1233</c:v>
                </c:pt>
                <c:pt idx="566">
                  <c:v>270</c:v>
                </c:pt>
                <c:pt idx="567">
                  <c:v>3421.5</c:v>
                </c:pt>
                <c:pt idx="568">
                  <c:v>2734</c:v>
                </c:pt>
                <c:pt idx="569">
                  <c:v>2548</c:v>
                </c:pt>
                <c:pt idx="570">
                  <c:v>2521.5</c:v>
                </c:pt>
                <c:pt idx="571">
                  <c:v>2661</c:v>
                </c:pt>
                <c:pt idx="572">
                  <c:v>1531</c:v>
                </c:pt>
                <c:pt idx="573">
                  <c:v>1491</c:v>
                </c:pt>
                <c:pt idx="574">
                  <c:v>1531</c:v>
                </c:pt>
                <c:pt idx="575">
                  <c:v>2761</c:v>
                </c:pt>
                <c:pt idx="576">
                  <c:v>2567</c:v>
                </c:pt>
                <c:pt idx="577">
                  <c:v>2567</c:v>
                </c:pt>
                <c:pt idx="578">
                  <c:v>923</c:v>
                </c:pt>
                <c:pt idx="579">
                  <c:v>1790</c:v>
                </c:pt>
                <c:pt idx="580">
                  <c:v>442</c:v>
                </c:pt>
                <c:pt idx="581">
                  <c:v>982.5</c:v>
                </c:pt>
                <c:pt idx="582">
                  <c:v>1298</c:v>
                </c:pt>
                <c:pt idx="583">
                  <c:v>604</c:v>
                </c:pt>
                <c:pt idx="584">
                  <c:v>2255</c:v>
                </c:pt>
                <c:pt idx="585">
                  <c:v>1249</c:v>
                </c:pt>
                <c:pt idx="586">
                  <c:v>1438.5</c:v>
                </c:pt>
                <c:pt idx="587">
                  <c:v>807</c:v>
                </c:pt>
                <c:pt idx="588">
                  <c:v>2641</c:v>
                </c:pt>
                <c:pt idx="589">
                  <c:v>2708</c:v>
                </c:pt>
                <c:pt idx="590">
                  <c:v>2632</c:v>
                </c:pt>
                <c:pt idx="591">
                  <c:v>1583</c:v>
                </c:pt>
                <c:pt idx="592">
                  <c:v>571</c:v>
                </c:pt>
                <c:pt idx="593">
                  <c:v>2696</c:v>
                </c:pt>
                <c:pt idx="594">
                  <c:v>1565</c:v>
                </c:pt>
                <c:pt idx="595">
                  <c:v>1249</c:v>
                </c:pt>
                <c:pt idx="596">
                  <c:v>357</c:v>
                </c:pt>
                <c:pt idx="597">
                  <c:v>1013</c:v>
                </c:pt>
                <c:pt idx="598">
                  <c:v>3997.5</c:v>
                </c:pt>
                <c:pt idx="599">
                  <c:v>2632</c:v>
                </c:pt>
                <c:pt idx="600">
                  <c:v>1190</c:v>
                </c:pt>
                <c:pt idx="601">
                  <c:v>604</c:v>
                </c:pt>
                <c:pt idx="602">
                  <c:v>660</c:v>
                </c:pt>
                <c:pt idx="603">
                  <c:v>410</c:v>
                </c:pt>
                <c:pt idx="604">
                  <c:v>2605</c:v>
                </c:pt>
                <c:pt idx="605">
                  <c:v>1013</c:v>
                </c:pt>
                <c:pt idx="606">
                  <c:v>1583</c:v>
                </c:pt>
                <c:pt idx="607">
                  <c:v>1565</c:v>
                </c:pt>
                <c:pt idx="608">
                  <c:v>1659</c:v>
                </c:pt>
                <c:pt idx="609">
                  <c:v>1190</c:v>
                </c:pt>
                <c:pt idx="610">
                  <c:v>410</c:v>
                </c:pt>
                <c:pt idx="611">
                  <c:v>1770</c:v>
                </c:pt>
                <c:pt idx="612">
                  <c:v>2579</c:v>
                </c:pt>
                <c:pt idx="613">
                  <c:v>1743</c:v>
                </c:pt>
                <c:pt idx="614">
                  <c:v>2996</c:v>
                </c:pt>
                <c:pt idx="615">
                  <c:v>280</c:v>
                </c:pt>
                <c:pt idx="616">
                  <c:v>293</c:v>
                </c:pt>
                <c:pt idx="617">
                  <c:v>2996</c:v>
                </c:pt>
                <c:pt idx="618">
                  <c:v>278</c:v>
                </c:pt>
                <c:pt idx="619">
                  <c:v>2428</c:v>
                </c:pt>
                <c:pt idx="620">
                  <c:v>1767</c:v>
                </c:pt>
                <c:pt idx="621">
                  <c:v>1393</c:v>
                </c:pt>
                <c:pt idx="622">
                  <c:v>280</c:v>
                </c:pt>
                <c:pt idx="623">
                  <c:v>1393</c:v>
                </c:pt>
                <c:pt idx="624">
                  <c:v>2015</c:v>
                </c:pt>
                <c:pt idx="625">
                  <c:v>801</c:v>
                </c:pt>
                <c:pt idx="626">
                  <c:v>1023</c:v>
                </c:pt>
                <c:pt idx="627">
                  <c:v>1496</c:v>
                </c:pt>
                <c:pt idx="628">
                  <c:v>1010</c:v>
                </c:pt>
                <c:pt idx="629">
                  <c:v>1513</c:v>
                </c:pt>
                <c:pt idx="630">
                  <c:v>2300</c:v>
                </c:pt>
                <c:pt idx="631">
                  <c:v>2821</c:v>
                </c:pt>
                <c:pt idx="632">
                  <c:v>2227.5</c:v>
                </c:pt>
                <c:pt idx="633">
                  <c:v>1199</c:v>
                </c:pt>
                <c:pt idx="634">
                  <c:v>200</c:v>
                </c:pt>
                <c:pt idx="635">
                  <c:v>388</c:v>
                </c:pt>
                <c:pt idx="636">
                  <c:v>1727</c:v>
                </c:pt>
                <c:pt idx="637">
                  <c:v>2300</c:v>
                </c:pt>
                <c:pt idx="638">
                  <c:v>260</c:v>
                </c:pt>
                <c:pt idx="639">
                  <c:v>2470</c:v>
                </c:pt>
                <c:pt idx="640">
                  <c:v>1743</c:v>
                </c:pt>
                <c:pt idx="641">
                  <c:v>2914</c:v>
                </c:pt>
                <c:pt idx="642">
                  <c:v>1731</c:v>
                </c:pt>
                <c:pt idx="643">
                  <c:v>700</c:v>
                </c:pt>
                <c:pt idx="644">
                  <c:v>2222</c:v>
                </c:pt>
                <c:pt idx="645">
                  <c:v>1177</c:v>
                </c:pt>
                <c:pt idx="646">
                  <c:v>1922</c:v>
                </c:pt>
                <c:pt idx="647">
                  <c:v>1575</c:v>
                </c:pt>
                <c:pt idx="648">
                  <c:v>606</c:v>
                </c:pt>
                <c:pt idx="649">
                  <c:v>2460</c:v>
                </c:pt>
                <c:pt idx="650">
                  <c:v>269</c:v>
                </c:pt>
                <c:pt idx="651">
                  <c:v>2536</c:v>
                </c:pt>
                <c:pt idx="652">
                  <c:v>2903</c:v>
                </c:pt>
                <c:pt idx="653">
                  <c:v>2541</c:v>
                </c:pt>
                <c:pt idx="654">
                  <c:v>269</c:v>
                </c:pt>
                <c:pt idx="655">
                  <c:v>1496</c:v>
                </c:pt>
                <c:pt idx="656">
                  <c:v>1010</c:v>
                </c:pt>
                <c:pt idx="657">
                  <c:v>1281</c:v>
                </c:pt>
                <c:pt idx="658">
                  <c:v>888</c:v>
                </c:pt>
                <c:pt idx="659">
                  <c:v>2844</c:v>
                </c:pt>
                <c:pt idx="660">
                  <c:v>2475</c:v>
                </c:pt>
                <c:pt idx="661">
                  <c:v>1743</c:v>
                </c:pt>
                <c:pt idx="662">
                  <c:v>2914</c:v>
                </c:pt>
                <c:pt idx="663">
                  <c:v>1731</c:v>
                </c:pt>
                <c:pt idx="664">
                  <c:v>1727</c:v>
                </c:pt>
                <c:pt idx="665">
                  <c:v>1870</c:v>
                </c:pt>
                <c:pt idx="666">
                  <c:v>1174</c:v>
                </c:pt>
                <c:pt idx="667">
                  <c:v>2767</c:v>
                </c:pt>
                <c:pt idx="668">
                  <c:v>1085</c:v>
                </c:pt>
                <c:pt idx="669">
                  <c:v>546</c:v>
                </c:pt>
                <c:pt idx="670">
                  <c:v>1158</c:v>
                </c:pt>
                <c:pt idx="671">
                  <c:v>1614</c:v>
                </c:pt>
                <c:pt idx="672">
                  <c:v>2535</c:v>
                </c:pt>
                <c:pt idx="673">
                  <c:v>2851</c:v>
                </c:pt>
                <c:pt idx="674">
                  <c:v>2559</c:v>
                </c:pt>
                <c:pt idx="675">
                  <c:v>267</c:v>
                </c:pt>
                <c:pt idx="676">
                  <c:v>1085</c:v>
                </c:pt>
                <c:pt idx="677">
                  <c:v>1175</c:v>
                </c:pt>
                <c:pt idx="678">
                  <c:v>2007</c:v>
                </c:pt>
                <c:pt idx="679">
                  <c:v>2151</c:v>
                </c:pt>
                <c:pt idx="680">
                  <c:v>914</c:v>
                </c:pt>
                <c:pt idx="681">
                  <c:v>293</c:v>
                </c:pt>
                <c:pt idx="682">
                  <c:v>500</c:v>
                </c:pt>
                <c:pt idx="683">
                  <c:v>2826</c:v>
                </c:pt>
                <c:pt idx="684">
                  <c:v>663</c:v>
                </c:pt>
                <c:pt idx="685">
                  <c:v>2574</c:v>
                </c:pt>
                <c:pt idx="686">
                  <c:v>2438</c:v>
                </c:pt>
                <c:pt idx="687">
                  <c:v>914</c:v>
                </c:pt>
                <c:pt idx="688">
                  <c:v>865.5</c:v>
                </c:pt>
                <c:pt idx="689">
                  <c:v>492</c:v>
                </c:pt>
                <c:pt idx="690">
                  <c:v>267</c:v>
                </c:pt>
                <c:pt idx="691">
                  <c:v>1175</c:v>
                </c:pt>
                <c:pt idx="692">
                  <c:v>2954</c:v>
                </c:pt>
                <c:pt idx="693">
                  <c:v>552</c:v>
                </c:pt>
                <c:pt idx="694">
                  <c:v>293</c:v>
                </c:pt>
                <c:pt idx="695">
                  <c:v>2475</c:v>
                </c:pt>
                <c:pt idx="696">
                  <c:v>546</c:v>
                </c:pt>
                <c:pt idx="697">
                  <c:v>1368</c:v>
                </c:pt>
                <c:pt idx="698">
                  <c:v>723</c:v>
                </c:pt>
                <c:pt idx="699">
                  <c:v>1806</c:v>
                </c:pt>
              </c:numCache>
            </c:numRef>
          </c:xVal>
          <c:yVal>
            <c:numRef>
              <c:f>'Sactter plot data'!$B$2:$B$701</c:f>
              <c:numCache>
                <c:formatCode>_("$"* #,##0.00_);_("$"* \(#,##0.00\);_("$"* "-"??_);_(@_)</c:formatCode>
                <c:ptCount val="700"/>
                <c:pt idx="0">
                  <c:v>32370</c:v>
                </c:pt>
                <c:pt idx="1">
                  <c:v>26420</c:v>
                </c:pt>
                <c:pt idx="2">
                  <c:v>32670</c:v>
                </c:pt>
                <c:pt idx="3">
                  <c:v>13320</c:v>
                </c:pt>
                <c:pt idx="4">
                  <c:v>37050</c:v>
                </c:pt>
                <c:pt idx="5">
                  <c:v>529550</c:v>
                </c:pt>
                <c:pt idx="6">
                  <c:v>13815</c:v>
                </c:pt>
                <c:pt idx="7">
                  <c:v>30216</c:v>
                </c:pt>
                <c:pt idx="8">
                  <c:v>37980</c:v>
                </c:pt>
                <c:pt idx="9">
                  <c:v>18540</c:v>
                </c:pt>
                <c:pt idx="10">
                  <c:v>37050</c:v>
                </c:pt>
                <c:pt idx="11">
                  <c:v>333187.5</c:v>
                </c:pt>
                <c:pt idx="12">
                  <c:v>287400</c:v>
                </c:pt>
                <c:pt idx="13">
                  <c:v>15022</c:v>
                </c:pt>
                <c:pt idx="14">
                  <c:v>43125</c:v>
                </c:pt>
                <c:pt idx="15">
                  <c:v>9225</c:v>
                </c:pt>
                <c:pt idx="16">
                  <c:v>5840</c:v>
                </c:pt>
                <c:pt idx="17">
                  <c:v>14610</c:v>
                </c:pt>
                <c:pt idx="18">
                  <c:v>30216</c:v>
                </c:pt>
                <c:pt idx="19">
                  <c:v>352100</c:v>
                </c:pt>
                <c:pt idx="20">
                  <c:v>4404</c:v>
                </c:pt>
                <c:pt idx="21">
                  <c:v>6181</c:v>
                </c:pt>
                <c:pt idx="22">
                  <c:v>8235</c:v>
                </c:pt>
                <c:pt idx="23">
                  <c:v>236400</c:v>
                </c:pt>
                <c:pt idx="24">
                  <c:v>37080</c:v>
                </c:pt>
                <c:pt idx="25">
                  <c:v>8001</c:v>
                </c:pt>
                <c:pt idx="26">
                  <c:v>603750</c:v>
                </c:pt>
                <c:pt idx="27">
                  <c:v>10944</c:v>
                </c:pt>
                <c:pt idx="28">
                  <c:v>32280</c:v>
                </c:pt>
                <c:pt idx="29">
                  <c:v>36340</c:v>
                </c:pt>
                <c:pt idx="30">
                  <c:v>529550</c:v>
                </c:pt>
                <c:pt idx="31">
                  <c:v>10451</c:v>
                </c:pt>
                <c:pt idx="32">
                  <c:v>225500</c:v>
                </c:pt>
                <c:pt idx="33">
                  <c:v>25932</c:v>
                </c:pt>
                <c:pt idx="34">
                  <c:v>352100</c:v>
                </c:pt>
                <c:pt idx="35">
                  <c:v>18540</c:v>
                </c:pt>
                <c:pt idx="36">
                  <c:v>352625</c:v>
                </c:pt>
                <c:pt idx="37">
                  <c:v>43125</c:v>
                </c:pt>
                <c:pt idx="38">
                  <c:v>600300</c:v>
                </c:pt>
                <c:pt idx="39">
                  <c:v>34056</c:v>
                </c:pt>
                <c:pt idx="40">
                  <c:v>32670</c:v>
                </c:pt>
                <c:pt idx="41">
                  <c:v>13320</c:v>
                </c:pt>
                <c:pt idx="42">
                  <c:v>534450</c:v>
                </c:pt>
                <c:pt idx="43">
                  <c:v>645300</c:v>
                </c:pt>
                <c:pt idx="44">
                  <c:v>36340</c:v>
                </c:pt>
                <c:pt idx="45">
                  <c:v>962500</c:v>
                </c:pt>
                <c:pt idx="46">
                  <c:v>23436</c:v>
                </c:pt>
                <c:pt idx="47">
                  <c:v>527437.5</c:v>
                </c:pt>
                <c:pt idx="48">
                  <c:v>37980</c:v>
                </c:pt>
                <c:pt idx="49">
                  <c:v>11802</c:v>
                </c:pt>
                <c:pt idx="50">
                  <c:v>25692</c:v>
                </c:pt>
                <c:pt idx="51">
                  <c:v>8001</c:v>
                </c:pt>
                <c:pt idx="52">
                  <c:v>9225</c:v>
                </c:pt>
                <c:pt idx="53">
                  <c:v>27338.850000000002</c:v>
                </c:pt>
                <c:pt idx="54">
                  <c:v>34095.599999999999</c:v>
                </c:pt>
                <c:pt idx="55">
                  <c:v>7137.9</c:v>
                </c:pt>
                <c:pt idx="56">
                  <c:v>4428.2700000000004</c:v>
                </c:pt>
                <c:pt idx="57">
                  <c:v>9189.18</c:v>
                </c:pt>
                <c:pt idx="58">
                  <c:v>22073.040000000001</c:v>
                </c:pt>
                <c:pt idx="59">
                  <c:v>419265</c:v>
                </c:pt>
                <c:pt idx="60">
                  <c:v>17525.97</c:v>
                </c:pt>
                <c:pt idx="61">
                  <c:v>17166.599999999999</c:v>
                </c:pt>
                <c:pt idx="62">
                  <c:v>40837.5</c:v>
                </c:pt>
                <c:pt idx="63">
                  <c:v>31731.48</c:v>
                </c:pt>
                <c:pt idx="64">
                  <c:v>9100.08</c:v>
                </c:pt>
                <c:pt idx="65">
                  <c:v>146718</c:v>
                </c:pt>
                <c:pt idx="66">
                  <c:v>484060.5</c:v>
                </c:pt>
                <c:pt idx="67">
                  <c:v>746707.5</c:v>
                </c:pt>
                <c:pt idx="68">
                  <c:v>32877.9</c:v>
                </c:pt>
                <c:pt idx="69">
                  <c:v>683397</c:v>
                </c:pt>
                <c:pt idx="70">
                  <c:v>27234.899999999998</c:v>
                </c:pt>
                <c:pt idx="71">
                  <c:v>12681.9</c:v>
                </c:pt>
                <c:pt idx="72">
                  <c:v>741906</c:v>
                </c:pt>
                <c:pt idx="73">
                  <c:v>82046.25</c:v>
                </c:pt>
                <c:pt idx="74">
                  <c:v>22482.9</c:v>
                </c:pt>
                <c:pt idx="75">
                  <c:v>31133.024999999998</c:v>
                </c:pt>
                <c:pt idx="76">
                  <c:v>89966.25</c:v>
                </c:pt>
                <c:pt idx="77">
                  <c:v>97391.25</c:v>
                </c:pt>
                <c:pt idx="78">
                  <c:v>225596.25</c:v>
                </c:pt>
                <c:pt idx="79">
                  <c:v>11092.95</c:v>
                </c:pt>
                <c:pt idx="80">
                  <c:v>9100.08</c:v>
                </c:pt>
                <c:pt idx="81">
                  <c:v>862785</c:v>
                </c:pt>
                <c:pt idx="82">
                  <c:v>746707.5</c:v>
                </c:pt>
                <c:pt idx="83">
                  <c:v>76507.200000000012</c:v>
                </c:pt>
                <c:pt idx="84">
                  <c:v>2508.66</c:v>
                </c:pt>
                <c:pt idx="85">
                  <c:v>114221.25</c:v>
                </c:pt>
                <c:pt idx="86">
                  <c:v>82046.25</c:v>
                </c:pt>
                <c:pt idx="87">
                  <c:v>14497.56</c:v>
                </c:pt>
                <c:pt idx="88">
                  <c:v>1822.59</c:v>
                </c:pt>
                <c:pt idx="89">
                  <c:v>326922.75</c:v>
                </c:pt>
                <c:pt idx="90">
                  <c:v>89966.25</c:v>
                </c:pt>
                <c:pt idx="91">
                  <c:v>97391.25</c:v>
                </c:pt>
                <c:pt idx="92">
                  <c:v>292842</c:v>
                </c:pt>
                <c:pt idx="93">
                  <c:v>146718</c:v>
                </c:pt>
                <c:pt idx="94">
                  <c:v>484060.5</c:v>
                </c:pt>
                <c:pt idx="95">
                  <c:v>215820</c:v>
                </c:pt>
                <c:pt idx="96">
                  <c:v>23629.32</c:v>
                </c:pt>
                <c:pt idx="97">
                  <c:v>4766.8500000000004</c:v>
                </c:pt>
                <c:pt idx="98">
                  <c:v>90956.25</c:v>
                </c:pt>
                <c:pt idx="99">
                  <c:v>15229.2</c:v>
                </c:pt>
                <c:pt idx="100">
                  <c:v>62916</c:v>
                </c:pt>
                <c:pt idx="101">
                  <c:v>14714.7</c:v>
                </c:pt>
                <c:pt idx="102">
                  <c:v>978236</c:v>
                </c:pt>
                <c:pt idx="103">
                  <c:v>13429.92</c:v>
                </c:pt>
                <c:pt idx="104">
                  <c:v>30693.599999999999</c:v>
                </c:pt>
                <c:pt idx="105">
                  <c:v>8114.4</c:v>
                </c:pt>
                <c:pt idx="106">
                  <c:v>203350</c:v>
                </c:pt>
                <c:pt idx="107">
                  <c:v>34736.1</c:v>
                </c:pt>
                <c:pt idx="108">
                  <c:v>269892</c:v>
                </c:pt>
                <c:pt idx="109">
                  <c:v>508032</c:v>
                </c:pt>
                <c:pt idx="110">
                  <c:v>13429.92</c:v>
                </c:pt>
                <c:pt idx="111">
                  <c:v>81095</c:v>
                </c:pt>
                <c:pt idx="112">
                  <c:v>15229.2</c:v>
                </c:pt>
                <c:pt idx="113">
                  <c:v>99102.5</c:v>
                </c:pt>
                <c:pt idx="114">
                  <c:v>262762.5</c:v>
                </c:pt>
                <c:pt idx="115">
                  <c:v>20991.599999999999</c:v>
                </c:pt>
                <c:pt idx="116">
                  <c:v>563304</c:v>
                </c:pt>
                <c:pt idx="117">
                  <c:v>978236</c:v>
                </c:pt>
                <c:pt idx="118">
                  <c:v>334302.5</c:v>
                </c:pt>
                <c:pt idx="119">
                  <c:v>28297.5</c:v>
                </c:pt>
                <c:pt idx="120">
                  <c:v>13809.18</c:v>
                </c:pt>
                <c:pt idx="121">
                  <c:v>12406.8</c:v>
                </c:pt>
                <c:pt idx="122">
                  <c:v>12747.84</c:v>
                </c:pt>
                <c:pt idx="123">
                  <c:v>30693.599999999999</c:v>
                </c:pt>
                <c:pt idx="124">
                  <c:v>1017338</c:v>
                </c:pt>
                <c:pt idx="125">
                  <c:v>986811</c:v>
                </c:pt>
                <c:pt idx="126">
                  <c:v>99102.5</c:v>
                </c:pt>
                <c:pt idx="127">
                  <c:v>262762.5</c:v>
                </c:pt>
                <c:pt idx="128">
                  <c:v>12406.8</c:v>
                </c:pt>
                <c:pt idx="129">
                  <c:v>10662.4</c:v>
                </c:pt>
                <c:pt idx="130">
                  <c:v>12747.84</c:v>
                </c:pt>
                <c:pt idx="131">
                  <c:v>81095</c:v>
                </c:pt>
                <c:pt idx="132">
                  <c:v>62916</c:v>
                </c:pt>
                <c:pt idx="133">
                  <c:v>986811</c:v>
                </c:pt>
                <c:pt idx="134">
                  <c:v>334302.5</c:v>
                </c:pt>
                <c:pt idx="135">
                  <c:v>91238</c:v>
                </c:pt>
                <c:pt idx="136">
                  <c:v>665420</c:v>
                </c:pt>
                <c:pt idx="137">
                  <c:v>76146</c:v>
                </c:pt>
                <c:pt idx="138">
                  <c:v>323694</c:v>
                </c:pt>
                <c:pt idx="139">
                  <c:v>278810</c:v>
                </c:pt>
                <c:pt idx="140">
                  <c:v>1017338</c:v>
                </c:pt>
                <c:pt idx="141">
                  <c:v>24225.599999999999</c:v>
                </c:pt>
                <c:pt idx="142">
                  <c:v>18443.599999999999</c:v>
                </c:pt>
                <c:pt idx="143">
                  <c:v>563304</c:v>
                </c:pt>
                <c:pt idx="144">
                  <c:v>514524.375</c:v>
                </c:pt>
                <c:pt idx="145">
                  <c:v>50052</c:v>
                </c:pt>
                <c:pt idx="146">
                  <c:v>200499</c:v>
                </c:pt>
                <c:pt idx="147">
                  <c:v>22663.08</c:v>
                </c:pt>
                <c:pt idx="148">
                  <c:v>10569.12</c:v>
                </c:pt>
                <c:pt idx="149">
                  <c:v>13294.82</c:v>
                </c:pt>
                <c:pt idx="150">
                  <c:v>22127.64</c:v>
                </c:pt>
                <c:pt idx="151">
                  <c:v>3693.76</c:v>
                </c:pt>
                <c:pt idx="152">
                  <c:v>610081.5</c:v>
                </c:pt>
                <c:pt idx="153">
                  <c:v>156048.75</c:v>
                </c:pt>
                <c:pt idx="154">
                  <c:v>206852.5</c:v>
                </c:pt>
                <c:pt idx="155">
                  <c:v>708439.5</c:v>
                </c:pt>
                <c:pt idx="156">
                  <c:v>215097.5</c:v>
                </c:pt>
                <c:pt idx="157">
                  <c:v>22127.64</c:v>
                </c:pt>
                <c:pt idx="158">
                  <c:v>200499</c:v>
                </c:pt>
                <c:pt idx="159">
                  <c:v>190362.5</c:v>
                </c:pt>
                <c:pt idx="160">
                  <c:v>15940.98</c:v>
                </c:pt>
                <c:pt idx="161">
                  <c:v>243591.25</c:v>
                </c:pt>
                <c:pt idx="162">
                  <c:v>28299.75</c:v>
                </c:pt>
                <c:pt idx="163">
                  <c:v>156048.75</c:v>
                </c:pt>
                <c:pt idx="164">
                  <c:v>206852.5</c:v>
                </c:pt>
                <c:pt idx="165">
                  <c:v>243591.25</c:v>
                </c:pt>
                <c:pt idx="166">
                  <c:v>827604</c:v>
                </c:pt>
                <c:pt idx="167">
                  <c:v>22302.240000000002</c:v>
                </c:pt>
                <c:pt idx="168">
                  <c:v>190362.5</c:v>
                </c:pt>
                <c:pt idx="169">
                  <c:v>545334</c:v>
                </c:pt>
                <c:pt idx="170">
                  <c:v>557459</c:v>
                </c:pt>
                <c:pt idx="171">
                  <c:v>28299.75</c:v>
                </c:pt>
                <c:pt idx="172">
                  <c:v>16121.4</c:v>
                </c:pt>
                <c:pt idx="173">
                  <c:v>11950.4</c:v>
                </c:pt>
                <c:pt idx="174">
                  <c:v>74699.700000000012</c:v>
                </c:pt>
                <c:pt idx="175">
                  <c:v>28855.56</c:v>
                </c:pt>
                <c:pt idx="176">
                  <c:v>29246.400000000001</c:v>
                </c:pt>
                <c:pt idx="177">
                  <c:v>29246.400000000001</c:v>
                </c:pt>
                <c:pt idx="178">
                  <c:v>32558.400000000001</c:v>
                </c:pt>
                <c:pt idx="179">
                  <c:v>14131.2</c:v>
                </c:pt>
                <c:pt idx="180">
                  <c:v>19158.72</c:v>
                </c:pt>
                <c:pt idx="181">
                  <c:v>582048</c:v>
                </c:pt>
                <c:pt idx="182">
                  <c:v>92064</c:v>
                </c:pt>
                <c:pt idx="183">
                  <c:v>28324.799999999999</c:v>
                </c:pt>
                <c:pt idx="184">
                  <c:v>535392</c:v>
                </c:pt>
                <c:pt idx="185">
                  <c:v>19158.72</c:v>
                </c:pt>
                <c:pt idx="186">
                  <c:v>582048</c:v>
                </c:pt>
                <c:pt idx="187">
                  <c:v>136560</c:v>
                </c:pt>
                <c:pt idx="188">
                  <c:v>28566.720000000001</c:v>
                </c:pt>
                <c:pt idx="189">
                  <c:v>95400</c:v>
                </c:pt>
                <c:pt idx="190">
                  <c:v>407376</c:v>
                </c:pt>
                <c:pt idx="191">
                  <c:v>840384</c:v>
                </c:pt>
                <c:pt idx="192">
                  <c:v>1159200</c:v>
                </c:pt>
                <c:pt idx="193">
                  <c:v>358560</c:v>
                </c:pt>
                <c:pt idx="194">
                  <c:v>3139.2</c:v>
                </c:pt>
                <c:pt idx="195">
                  <c:v>39820.800000000003</c:v>
                </c:pt>
                <c:pt idx="196">
                  <c:v>20275.2</c:v>
                </c:pt>
                <c:pt idx="197">
                  <c:v>9662.4</c:v>
                </c:pt>
                <c:pt idx="198">
                  <c:v>21801.599999999999</c:v>
                </c:pt>
                <c:pt idx="199">
                  <c:v>92064</c:v>
                </c:pt>
                <c:pt idx="200">
                  <c:v>136560</c:v>
                </c:pt>
                <c:pt idx="201">
                  <c:v>16876.8</c:v>
                </c:pt>
                <c:pt idx="202">
                  <c:v>50803.199999999997</c:v>
                </c:pt>
                <c:pt idx="203">
                  <c:v>731472</c:v>
                </c:pt>
                <c:pt idx="204">
                  <c:v>9976.32</c:v>
                </c:pt>
                <c:pt idx="205">
                  <c:v>117264</c:v>
                </c:pt>
                <c:pt idx="206">
                  <c:v>731472</c:v>
                </c:pt>
                <c:pt idx="207">
                  <c:v>21801.599999999999</c:v>
                </c:pt>
                <c:pt idx="208">
                  <c:v>626640</c:v>
                </c:pt>
                <c:pt idx="209">
                  <c:v>128880</c:v>
                </c:pt>
                <c:pt idx="210">
                  <c:v>640752</c:v>
                </c:pt>
                <c:pt idx="211">
                  <c:v>9662.4</c:v>
                </c:pt>
                <c:pt idx="212">
                  <c:v>597408</c:v>
                </c:pt>
                <c:pt idx="213">
                  <c:v>7707.35</c:v>
                </c:pt>
                <c:pt idx="214">
                  <c:v>9123.7999999999993</c:v>
                </c:pt>
                <c:pt idx="215">
                  <c:v>15620.85</c:v>
                </c:pt>
                <c:pt idx="216">
                  <c:v>17881.849999999999</c:v>
                </c:pt>
                <c:pt idx="217">
                  <c:v>27713.4</c:v>
                </c:pt>
                <c:pt idx="218">
                  <c:v>27713.4</c:v>
                </c:pt>
                <c:pt idx="219">
                  <c:v>17881.849999999999</c:v>
                </c:pt>
                <c:pt idx="220">
                  <c:v>11191.95</c:v>
                </c:pt>
                <c:pt idx="221">
                  <c:v>12802.2</c:v>
                </c:pt>
                <c:pt idx="222">
                  <c:v>7707.35</c:v>
                </c:pt>
                <c:pt idx="223">
                  <c:v>21261</c:v>
                </c:pt>
                <c:pt idx="224">
                  <c:v>12722.4</c:v>
                </c:pt>
                <c:pt idx="225">
                  <c:v>29697</c:v>
                </c:pt>
                <c:pt idx="226">
                  <c:v>282435</c:v>
                </c:pt>
                <c:pt idx="227">
                  <c:v>6756.4</c:v>
                </c:pt>
                <c:pt idx="228">
                  <c:v>39771.75</c:v>
                </c:pt>
                <c:pt idx="229">
                  <c:v>3790.5</c:v>
                </c:pt>
                <c:pt idx="230">
                  <c:v>16538.55</c:v>
                </c:pt>
                <c:pt idx="231">
                  <c:v>460346.25</c:v>
                </c:pt>
                <c:pt idx="232">
                  <c:v>430706.25</c:v>
                </c:pt>
                <c:pt idx="233">
                  <c:v>239400</c:v>
                </c:pt>
                <c:pt idx="234">
                  <c:v>26698.799999999999</c:v>
                </c:pt>
                <c:pt idx="235">
                  <c:v>313500</c:v>
                </c:pt>
                <c:pt idx="236">
                  <c:v>24757</c:v>
                </c:pt>
                <c:pt idx="237">
                  <c:v>355300</c:v>
                </c:pt>
                <c:pt idx="238">
                  <c:v>283218.75</c:v>
                </c:pt>
                <c:pt idx="239">
                  <c:v>457995</c:v>
                </c:pt>
                <c:pt idx="240">
                  <c:v>15474.55</c:v>
                </c:pt>
                <c:pt idx="241">
                  <c:v>282435</c:v>
                </c:pt>
                <c:pt idx="242">
                  <c:v>200165</c:v>
                </c:pt>
                <c:pt idx="243">
                  <c:v>37335</c:v>
                </c:pt>
                <c:pt idx="244">
                  <c:v>408310</c:v>
                </c:pt>
                <c:pt idx="245">
                  <c:v>26391</c:v>
                </c:pt>
                <c:pt idx="246">
                  <c:v>102243.75</c:v>
                </c:pt>
                <c:pt idx="247">
                  <c:v>83600</c:v>
                </c:pt>
                <c:pt idx="248">
                  <c:v>34238</c:v>
                </c:pt>
                <c:pt idx="249">
                  <c:v>50597</c:v>
                </c:pt>
                <c:pt idx="250">
                  <c:v>14204.4</c:v>
                </c:pt>
                <c:pt idx="251">
                  <c:v>30153</c:v>
                </c:pt>
                <c:pt idx="252">
                  <c:v>7908.75</c:v>
                </c:pt>
                <c:pt idx="253">
                  <c:v>40769.25</c:v>
                </c:pt>
                <c:pt idx="254">
                  <c:v>95831.25</c:v>
                </c:pt>
                <c:pt idx="255">
                  <c:v>200165</c:v>
                </c:pt>
                <c:pt idx="256">
                  <c:v>53808</c:v>
                </c:pt>
                <c:pt idx="257">
                  <c:v>30001</c:v>
                </c:pt>
                <c:pt idx="258">
                  <c:v>102243.75</c:v>
                </c:pt>
                <c:pt idx="259">
                  <c:v>83600</c:v>
                </c:pt>
                <c:pt idx="260">
                  <c:v>19627</c:v>
                </c:pt>
                <c:pt idx="261">
                  <c:v>356250</c:v>
                </c:pt>
                <c:pt idx="262">
                  <c:v>26391</c:v>
                </c:pt>
                <c:pt idx="263">
                  <c:v>24035</c:v>
                </c:pt>
                <c:pt idx="264">
                  <c:v>43643</c:v>
                </c:pt>
                <c:pt idx="265">
                  <c:v>50597</c:v>
                </c:pt>
                <c:pt idx="266">
                  <c:v>3790.5</c:v>
                </c:pt>
                <c:pt idx="267">
                  <c:v>16538.55</c:v>
                </c:pt>
                <c:pt idx="268">
                  <c:v>448875</c:v>
                </c:pt>
                <c:pt idx="269">
                  <c:v>183540</c:v>
                </c:pt>
                <c:pt idx="270">
                  <c:v>408310</c:v>
                </c:pt>
                <c:pt idx="271">
                  <c:v>356250</c:v>
                </c:pt>
                <c:pt idx="272">
                  <c:v>53594.100000000006</c:v>
                </c:pt>
                <c:pt idx="273">
                  <c:v>21009</c:v>
                </c:pt>
                <c:pt idx="274">
                  <c:v>40100.400000000001</c:v>
                </c:pt>
                <c:pt idx="275">
                  <c:v>6339.36</c:v>
                </c:pt>
                <c:pt idx="276">
                  <c:v>25932.720000000001</c:v>
                </c:pt>
                <c:pt idx="277">
                  <c:v>28623</c:v>
                </c:pt>
                <c:pt idx="278">
                  <c:v>1730.54</c:v>
                </c:pt>
                <c:pt idx="279">
                  <c:v>104222.5</c:v>
                </c:pt>
                <c:pt idx="280">
                  <c:v>322420</c:v>
                </c:pt>
                <c:pt idx="281">
                  <c:v>480340</c:v>
                </c:pt>
                <c:pt idx="282">
                  <c:v>9231.74</c:v>
                </c:pt>
                <c:pt idx="283">
                  <c:v>30715.439999999999</c:v>
                </c:pt>
                <c:pt idx="284">
                  <c:v>492184</c:v>
                </c:pt>
                <c:pt idx="285">
                  <c:v>25932.720000000001</c:v>
                </c:pt>
                <c:pt idx="286">
                  <c:v>239183</c:v>
                </c:pt>
                <c:pt idx="287">
                  <c:v>111860</c:v>
                </c:pt>
                <c:pt idx="288">
                  <c:v>323712.5</c:v>
                </c:pt>
                <c:pt idx="289">
                  <c:v>21573</c:v>
                </c:pt>
                <c:pt idx="290">
                  <c:v>492184</c:v>
                </c:pt>
                <c:pt idx="291">
                  <c:v>9856.84</c:v>
                </c:pt>
                <c:pt idx="292">
                  <c:v>344322</c:v>
                </c:pt>
                <c:pt idx="293">
                  <c:v>683004</c:v>
                </c:pt>
                <c:pt idx="294">
                  <c:v>40100.400000000001</c:v>
                </c:pt>
                <c:pt idx="295">
                  <c:v>9856.84</c:v>
                </c:pt>
                <c:pt idx="296">
                  <c:v>344322</c:v>
                </c:pt>
                <c:pt idx="297">
                  <c:v>21112.400000000001</c:v>
                </c:pt>
                <c:pt idx="298">
                  <c:v>686952</c:v>
                </c:pt>
                <c:pt idx="299">
                  <c:v>233531.25</c:v>
                </c:pt>
                <c:pt idx="300">
                  <c:v>552391</c:v>
                </c:pt>
                <c:pt idx="301">
                  <c:v>239183</c:v>
                </c:pt>
                <c:pt idx="302">
                  <c:v>9231.74</c:v>
                </c:pt>
                <c:pt idx="303">
                  <c:v>683004</c:v>
                </c:pt>
                <c:pt idx="304">
                  <c:v>33031.599999999999</c:v>
                </c:pt>
                <c:pt idx="305">
                  <c:v>30991.8</c:v>
                </c:pt>
                <c:pt idx="306">
                  <c:v>24576.3</c:v>
                </c:pt>
                <c:pt idx="307">
                  <c:v>16257.3</c:v>
                </c:pt>
                <c:pt idx="308">
                  <c:v>33031.599999999999</c:v>
                </c:pt>
                <c:pt idx="309">
                  <c:v>18818.8</c:v>
                </c:pt>
                <c:pt idx="310">
                  <c:v>8771.14</c:v>
                </c:pt>
                <c:pt idx="311">
                  <c:v>16257.3</c:v>
                </c:pt>
                <c:pt idx="312">
                  <c:v>8113.32</c:v>
                </c:pt>
                <c:pt idx="313">
                  <c:v>21025.439999999999</c:v>
                </c:pt>
                <c:pt idx="314">
                  <c:v>34112.400000000001</c:v>
                </c:pt>
                <c:pt idx="315">
                  <c:v>26114.400000000001</c:v>
                </c:pt>
                <c:pt idx="316">
                  <c:v>26136.720000000001</c:v>
                </c:pt>
                <c:pt idx="317">
                  <c:v>6711.81</c:v>
                </c:pt>
                <c:pt idx="318">
                  <c:v>17604.900000000001</c:v>
                </c:pt>
                <c:pt idx="319">
                  <c:v>7388.85</c:v>
                </c:pt>
                <c:pt idx="320">
                  <c:v>3560.9700000000003</c:v>
                </c:pt>
                <c:pt idx="321">
                  <c:v>10298.82</c:v>
                </c:pt>
                <c:pt idx="322">
                  <c:v>19401.66</c:v>
                </c:pt>
                <c:pt idx="323">
                  <c:v>24719.4</c:v>
                </c:pt>
                <c:pt idx="324">
                  <c:v>10298.82</c:v>
                </c:pt>
                <c:pt idx="325">
                  <c:v>7388.85</c:v>
                </c:pt>
                <c:pt idx="326">
                  <c:v>573205.5</c:v>
                </c:pt>
                <c:pt idx="327">
                  <c:v>124992</c:v>
                </c:pt>
                <c:pt idx="328">
                  <c:v>608499</c:v>
                </c:pt>
                <c:pt idx="329">
                  <c:v>36753.599999999999</c:v>
                </c:pt>
                <c:pt idx="330">
                  <c:v>608499</c:v>
                </c:pt>
                <c:pt idx="331">
                  <c:v>290625</c:v>
                </c:pt>
                <c:pt idx="332">
                  <c:v>474858</c:v>
                </c:pt>
                <c:pt idx="333">
                  <c:v>124992</c:v>
                </c:pt>
                <c:pt idx="334">
                  <c:v>408386.25</c:v>
                </c:pt>
                <c:pt idx="335">
                  <c:v>29308.95</c:v>
                </c:pt>
                <c:pt idx="336">
                  <c:v>40887.449999999997</c:v>
                </c:pt>
                <c:pt idx="337">
                  <c:v>28551</c:v>
                </c:pt>
                <c:pt idx="338">
                  <c:v>313317</c:v>
                </c:pt>
                <c:pt idx="339">
                  <c:v>391716</c:v>
                </c:pt>
                <c:pt idx="340">
                  <c:v>30835.08</c:v>
                </c:pt>
                <c:pt idx="341">
                  <c:v>13833.75</c:v>
                </c:pt>
                <c:pt idx="342">
                  <c:v>462861</c:v>
                </c:pt>
                <c:pt idx="343">
                  <c:v>11327.4</c:v>
                </c:pt>
                <c:pt idx="344">
                  <c:v>242613.75</c:v>
                </c:pt>
                <c:pt idx="345">
                  <c:v>36753.599999999999</c:v>
                </c:pt>
                <c:pt idx="346">
                  <c:v>26430.6</c:v>
                </c:pt>
                <c:pt idx="347">
                  <c:v>382788</c:v>
                </c:pt>
                <c:pt idx="348">
                  <c:v>10936.8</c:v>
                </c:pt>
                <c:pt idx="349">
                  <c:v>36208.620000000003</c:v>
                </c:pt>
                <c:pt idx="350">
                  <c:v>267561</c:v>
                </c:pt>
                <c:pt idx="351">
                  <c:v>766413</c:v>
                </c:pt>
                <c:pt idx="352">
                  <c:v>191231.25</c:v>
                </c:pt>
                <c:pt idx="353">
                  <c:v>936138</c:v>
                </c:pt>
                <c:pt idx="354">
                  <c:v>115552.5</c:v>
                </c:pt>
                <c:pt idx="355">
                  <c:v>20794.8</c:v>
                </c:pt>
                <c:pt idx="356">
                  <c:v>382788</c:v>
                </c:pt>
                <c:pt idx="357">
                  <c:v>3142.7200000000003</c:v>
                </c:pt>
                <c:pt idx="358">
                  <c:v>23588.799999999999</c:v>
                </c:pt>
                <c:pt idx="359">
                  <c:v>1655.08</c:v>
                </c:pt>
                <c:pt idx="360">
                  <c:v>23588.799999999999</c:v>
                </c:pt>
                <c:pt idx="361">
                  <c:v>177100</c:v>
                </c:pt>
                <c:pt idx="362">
                  <c:v>6762</c:v>
                </c:pt>
                <c:pt idx="363">
                  <c:v>438564</c:v>
                </c:pt>
                <c:pt idx="364">
                  <c:v>34513.800000000003</c:v>
                </c:pt>
                <c:pt idx="365">
                  <c:v>13027.2</c:v>
                </c:pt>
                <c:pt idx="366">
                  <c:v>11868</c:v>
                </c:pt>
                <c:pt idx="367">
                  <c:v>431112</c:v>
                </c:pt>
                <c:pt idx="368">
                  <c:v>354108</c:v>
                </c:pt>
                <c:pt idx="369">
                  <c:v>9811.7999999999993</c:v>
                </c:pt>
                <c:pt idx="370">
                  <c:v>128110</c:v>
                </c:pt>
                <c:pt idx="371">
                  <c:v>8107.96</c:v>
                </c:pt>
                <c:pt idx="372">
                  <c:v>7051.8</c:v>
                </c:pt>
                <c:pt idx="373">
                  <c:v>25134.400000000001</c:v>
                </c:pt>
                <c:pt idx="374">
                  <c:v>678960</c:v>
                </c:pt>
                <c:pt idx="375">
                  <c:v>4366.32</c:v>
                </c:pt>
                <c:pt idx="376">
                  <c:v>10291.120000000001</c:v>
                </c:pt>
                <c:pt idx="377">
                  <c:v>15513.96</c:v>
                </c:pt>
                <c:pt idx="378">
                  <c:v>35585.599999999999</c:v>
                </c:pt>
                <c:pt idx="379">
                  <c:v>55071.199999999997</c:v>
                </c:pt>
                <c:pt idx="380">
                  <c:v>691012</c:v>
                </c:pt>
                <c:pt idx="381">
                  <c:v>12532.24</c:v>
                </c:pt>
                <c:pt idx="382">
                  <c:v>438564</c:v>
                </c:pt>
                <c:pt idx="383">
                  <c:v>6601.92</c:v>
                </c:pt>
                <c:pt idx="384">
                  <c:v>18721.080000000002</c:v>
                </c:pt>
                <c:pt idx="385">
                  <c:v>15056.72</c:v>
                </c:pt>
                <c:pt idx="386">
                  <c:v>106536</c:v>
                </c:pt>
                <c:pt idx="387">
                  <c:v>175260</c:v>
                </c:pt>
                <c:pt idx="388">
                  <c:v>184989</c:v>
                </c:pt>
                <c:pt idx="389">
                  <c:v>15056.72</c:v>
                </c:pt>
                <c:pt idx="390">
                  <c:v>122682</c:v>
                </c:pt>
                <c:pt idx="391">
                  <c:v>135884</c:v>
                </c:pt>
                <c:pt idx="392">
                  <c:v>588984</c:v>
                </c:pt>
                <c:pt idx="393">
                  <c:v>223008</c:v>
                </c:pt>
                <c:pt idx="394">
                  <c:v>13027.2</c:v>
                </c:pt>
                <c:pt idx="395">
                  <c:v>18721.080000000002</c:v>
                </c:pt>
                <c:pt idx="396">
                  <c:v>25134.400000000001</c:v>
                </c:pt>
                <c:pt idx="397">
                  <c:v>678960</c:v>
                </c:pt>
                <c:pt idx="398">
                  <c:v>27968</c:v>
                </c:pt>
                <c:pt idx="399">
                  <c:v>9811.7999999999993</c:v>
                </c:pt>
                <c:pt idx="400">
                  <c:v>15180</c:v>
                </c:pt>
                <c:pt idx="401">
                  <c:v>175260</c:v>
                </c:pt>
                <c:pt idx="402">
                  <c:v>8031.5999999999995</c:v>
                </c:pt>
                <c:pt idx="403">
                  <c:v>298662</c:v>
                </c:pt>
                <c:pt idx="404">
                  <c:v>4007.64</c:v>
                </c:pt>
                <c:pt idx="405">
                  <c:v>1038082.5</c:v>
                </c:pt>
                <c:pt idx="406">
                  <c:v>530621</c:v>
                </c:pt>
                <c:pt idx="407">
                  <c:v>87906</c:v>
                </c:pt>
                <c:pt idx="408">
                  <c:v>25345.32</c:v>
                </c:pt>
                <c:pt idx="409">
                  <c:v>211233.75</c:v>
                </c:pt>
                <c:pt idx="410">
                  <c:v>10262.07</c:v>
                </c:pt>
                <c:pt idx="411">
                  <c:v>318158.75</c:v>
                </c:pt>
                <c:pt idx="412">
                  <c:v>91182</c:v>
                </c:pt>
                <c:pt idx="413">
                  <c:v>700245</c:v>
                </c:pt>
                <c:pt idx="414">
                  <c:v>769814.5</c:v>
                </c:pt>
                <c:pt idx="415">
                  <c:v>50163.75</c:v>
                </c:pt>
                <c:pt idx="416">
                  <c:v>298662</c:v>
                </c:pt>
                <c:pt idx="417">
                  <c:v>16748.55</c:v>
                </c:pt>
                <c:pt idx="418">
                  <c:v>4007.64</c:v>
                </c:pt>
                <c:pt idx="419">
                  <c:v>361452</c:v>
                </c:pt>
                <c:pt idx="420">
                  <c:v>19383</c:v>
                </c:pt>
                <c:pt idx="421">
                  <c:v>318158.75</c:v>
                </c:pt>
                <c:pt idx="422">
                  <c:v>3344.25</c:v>
                </c:pt>
                <c:pt idx="423">
                  <c:v>1035625.5</c:v>
                </c:pt>
                <c:pt idx="424">
                  <c:v>416279.5</c:v>
                </c:pt>
                <c:pt idx="425">
                  <c:v>64496.25</c:v>
                </c:pt>
                <c:pt idx="426">
                  <c:v>240012.5</c:v>
                </c:pt>
                <c:pt idx="427">
                  <c:v>404176.5</c:v>
                </c:pt>
                <c:pt idx="428">
                  <c:v>21359.52</c:v>
                </c:pt>
                <c:pt idx="429">
                  <c:v>725907</c:v>
                </c:pt>
                <c:pt idx="430">
                  <c:v>430452.75</c:v>
                </c:pt>
                <c:pt idx="431">
                  <c:v>9609.6</c:v>
                </c:pt>
                <c:pt idx="432">
                  <c:v>509691</c:v>
                </c:pt>
                <c:pt idx="433">
                  <c:v>24395.279999999999</c:v>
                </c:pt>
                <c:pt idx="434">
                  <c:v>16748.55</c:v>
                </c:pt>
                <c:pt idx="435">
                  <c:v>99758.75</c:v>
                </c:pt>
                <c:pt idx="436">
                  <c:v>659613.5</c:v>
                </c:pt>
                <c:pt idx="437">
                  <c:v>404176.5</c:v>
                </c:pt>
                <c:pt idx="438">
                  <c:v>13240.5</c:v>
                </c:pt>
                <c:pt idx="439">
                  <c:v>30830.799999999999</c:v>
                </c:pt>
                <c:pt idx="440">
                  <c:v>12066.6</c:v>
                </c:pt>
                <c:pt idx="441">
                  <c:v>5217.03</c:v>
                </c:pt>
                <c:pt idx="442">
                  <c:v>17253.599999999999</c:v>
                </c:pt>
                <c:pt idx="443">
                  <c:v>3318.77</c:v>
                </c:pt>
                <c:pt idx="444">
                  <c:v>17708.599999999999</c:v>
                </c:pt>
                <c:pt idx="445">
                  <c:v>18891.599999999999</c:v>
                </c:pt>
                <c:pt idx="446">
                  <c:v>2293.1999999999998</c:v>
                </c:pt>
                <c:pt idx="447">
                  <c:v>21479.64</c:v>
                </c:pt>
                <c:pt idx="448">
                  <c:v>35872.199999999997</c:v>
                </c:pt>
                <c:pt idx="449">
                  <c:v>2293.1999999999998</c:v>
                </c:pt>
                <c:pt idx="450">
                  <c:v>48812.4</c:v>
                </c:pt>
                <c:pt idx="451">
                  <c:v>3318.77</c:v>
                </c:pt>
                <c:pt idx="452">
                  <c:v>18891.599999999999</c:v>
                </c:pt>
                <c:pt idx="453">
                  <c:v>22256.324999999997</c:v>
                </c:pt>
                <c:pt idx="454">
                  <c:v>3341.52</c:v>
                </c:pt>
                <c:pt idx="455">
                  <c:v>4168.8</c:v>
                </c:pt>
                <c:pt idx="456">
                  <c:v>14666.4</c:v>
                </c:pt>
                <c:pt idx="457">
                  <c:v>4168.8</c:v>
                </c:pt>
                <c:pt idx="458">
                  <c:v>387618.75</c:v>
                </c:pt>
                <c:pt idx="459">
                  <c:v>166725</c:v>
                </c:pt>
                <c:pt idx="460">
                  <c:v>728595</c:v>
                </c:pt>
                <c:pt idx="461">
                  <c:v>202950</c:v>
                </c:pt>
                <c:pt idx="462">
                  <c:v>27972</c:v>
                </c:pt>
                <c:pt idx="463">
                  <c:v>35172</c:v>
                </c:pt>
                <c:pt idx="464">
                  <c:v>159570</c:v>
                </c:pt>
                <c:pt idx="465">
                  <c:v>29254.5</c:v>
                </c:pt>
                <c:pt idx="466">
                  <c:v>4338</c:v>
                </c:pt>
                <c:pt idx="467">
                  <c:v>9193.5</c:v>
                </c:pt>
                <c:pt idx="468">
                  <c:v>6885</c:v>
                </c:pt>
                <c:pt idx="469">
                  <c:v>10665</c:v>
                </c:pt>
                <c:pt idx="470">
                  <c:v>201285</c:v>
                </c:pt>
                <c:pt idx="471">
                  <c:v>179550</c:v>
                </c:pt>
                <c:pt idx="472">
                  <c:v>619380</c:v>
                </c:pt>
                <c:pt idx="473">
                  <c:v>4338</c:v>
                </c:pt>
                <c:pt idx="474">
                  <c:v>16789.5</c:v>
                </c:pt>
                <c:pt idx="475">
                  <c:v>215550</c:v>
                </c:pt>
                <c:pt idx="476">
                  <c:v>230310</c:v>
                </c:pt>
                <c:pt idx="477">
                  <c:v>38362.5</c:v>
                </c:pt>
                <c:pt idx="478">
                  <c:v>8653.5</c:v>
                </c:pt>
                <c:pt idx="479">
                  <c:v>884205</c:v>
                </c:pt>
                <c:pt idx="480">
                  <c:v>116640</c:v>
                </c:pt>
                <c:pt idx="481">
                  <c:v>619380</c:v>
                </c:pt>
                <c:pt idx="482">
                  <c:v>29254.5</c:v>
                </c:pt>
                <c:pt idx="483">
                  <c:v>284512.5</c:v>
                </c:pt>
                <c:pt idx="484">
                  <c:v>589050</c:v>
                </c:pt>
                <c:pt idx="485">
                  <c:v>65137.5</c:v>
                </c:pt>
                <c:pt idx="486">
                  <c:v>705600</c:v>
                </c:pt>
                <c:pt idx="487">
                  <c:v>808110</c:v>
                </c:pt>
                <c:pt idx="488">
                  <c:v>38021.399999999994</c:v>
                </c:pt>
                <c:pt idx="489">
                  <c:v>36702</c:v>
                </c:pt>
                <c:pt idx="490">
                  <c:v>27799.200000000001</c:v>
                </c:pt>
                <c:pt idx="491">
                  <c:v>222705</c:v>
                </c:pt>
                <c:pt idx="492">
                  <c:v>27972</c:v>
                </c:pt>
                <c:pt idx="493">
                  <c:v>230310</c:v>
                </c:pt>
                <c:pt idx="494">
                  <c:v>12794.64</c:v>
                </c:pt>
                <c:pt idx="495">
                  <c:v>15774.36</c:v>
                </c:pt>
                <c:pt idx="496">
                  <c:v>12794.64</c:v>
                </c:pt>
                <c:pt idx="497">
                  <c:v>5126.3999999999996</c:v>
                </c:pt>
                <c:pt idx="498">
                  <c:v>5040.96</c:v>
                </c:pt>
                <c:pt idx="499">
                  <c:v>9837.17</c:v>
                </c:pt>
                <c:pt idx="500">
                  <c:v>10733.4</c:v>
                </c:pt>
                <c:pt idx="501">
                  <c:v>42713.324999999997</c:v>
                </c:pt>
                <c:pt idx="502">
                  <c:v>5040.96</c:v>
                </c:pt>
                <c:pt idx="503">
                  <c:v>20687.16</c:v>
                </c:pt>
                <c:pt idx="504">
                  <c:v>246708</c:v>
                </c:pt>
                <c:pt idx="505">
                  <c:v>750537</c:v>
                </c:pt>
                <c:pt idx="506">
                  <c:v>271561.25</c:v>
                </c:pt>
                <c:pt idx="507">
                  <c:v>20826</c:v>
                </c:pt>
                <c:pt idx="508">
                  <c:v>16858.38</c:v>
                </c:pt>
                <c:pt idx="509">
                  <c:v>238609</c:v>
                </c:pt>
                <c:pt idx="510">
                  <c:v>53257.599999999999</c:v>
                </c:pt>
                <c:pt idx="511">
                  <c:v>28795.95</c:v>
                </c:pt>
                <c:pt idx="512">
                  <c:v>233091</c:v>
                </c:pt>
                <c:pt idx="513">
                  <c:v>19971.599999999999</c:v>
                </c:pt>
                <c:pt idx="514">
                  <c:v>655551.75</c:v>
                </c:pt>
                <c:pt idx="515">
                  <c:v>42997.68</c:v>
                </c:pt>
                <c:pt idx="516">
                  <c:v>25904.340000000004</c:v>
                </c:pt>
                <c:pt idx="517">
                  <c:v>42613.2</c:v>
                </c:pt>
                <c:pt idx="518">
                  <c:v>26486.400000000001</c:v>
                </c:pt>
                <c:pt idx="519">
                  <c:v>271561.25</c:v>
                </c:pt>
                <c:pt idx="520">
                  <c:v>53257.599999999999</c:v>
                </c:pt>
                <c:pt idx="521">
                  <c:v>364722</c:v>
                </c:pt>
                <c:pt idx="522">
                  <c:v>49929</c:v>
                </c:pt>
                <c:pt idx="523">
                  <c:v>8744.25</c:v>
                </c:pt>
                <c:pt idx="524">
                  <c:v>107156</c:v>
                </c:pt>
                <c:pt idx="525">
                  <c:v>11263.84</c:v>
                </c:pt>
                <c:pt idx="526">
                  <c:v>18519.12</c:v>
                </c:pt>
                <c:pt idx="527">
                  <c:v>61632.5</c:v>
                </c:pt>
                <c:pt idx="528">
                  <c:v>52243</c:v>
                </c:pt>
                <c:pt idx="529">
                  <c:v>352106.25</c:v>
                </c:pt>
                <c:pt idx="530">
                  <c:v>46796.2</c:v>
                </c:pt>
                <c:pt idx="531">
                  <c:v>159421.25</c:v>
                </c:pt>
                <c:pt idx="532">
                  <c:v>105353.75</c:v>
                </c:pt>
                <c:pt idx="533">
                  <c:v>107156</c:v>
                </c:pt>
                <c:pt idx="534">
                  <c:v>28795.95</c:v>
                </c:pt>
                <c:pt idx="535">
                  <c:v>2367.4</c:v>
                </c:pt>
                <c:pt idx="536">
                  <c:v>272888</c:v>
                </c:pt>
                <c:pt idx="537">
                  <c:v>265760</c:v>
                </c:pt>
                <c:pt idx="538">
                  <c:v>237160</c:v>
                </c:pt>
                <c:pt idx="539">
                  <c:v>35494.800000000003</c:v>
                </c:pt>
                <c:pt idx="540">
                  <c:v>8936.4</c:v>
                </c:pt>
                <c:pt idx="541">
                  <c:v>468072</c:v>
                </c:pt>
                <c:pt idx="542">
                  <c:v>14907.2</c:v>
                </c:pt>
                <c:pt idx="543">
                  <c:v>16841.439999999999</c:v>
                </c:pt>
                <c:pt idx="544">
                  <c:v>30184</c:v>
                </c:pt>
                <c:pt idx="545">
                  <c:v>313104</c:v>
                </c:pt>
                <c:pt idx="546">
                  <c:v>922680</c:v>
                </c:pt>
                <c:pt idx="547">
                  <c:v>272888</c:v>
                </c:pt>
                <c:pt idx="548">
                  <c:v>237160</c:v>
                </c:pt>
                <c:pt idx="549">
                  <c:v>15928</c:v>
                </c:pt>
                <c:pt idx="550">
                  <c:v>30184</c:v>
                </c:pt>
                <c:pt idx="551">
                  <c:v>490952</c:v>
                </c:pt>
                <c:pt idx="552">
                  <c:v>358776</c:v>
                </c:pt>
                <c:pt idx="553">
                  <c:v>567600</c:v>
                </c:pt>
                <c:pt idx="554">
                  <c:v>368676</c:v>
                </c:pt>
                <c:pt idx="555">
                  <c:v>5016</c:v>
                </c:pt>
                <c:pt idx="556">
                  <c:v>21700.799999999999</c:v>
                </c:pt>
                <c:pt idx="557">
                  <c:v>429660</c:v>
                </c:pt>
                <c:pt idx="558">
                  <c:v>303688</c:v>
                </c:pt>
                <c:pt idx="559">
                  <c:v>15928</c:v>
                </c:pt>
                <c:pt idx="560">
                  <c:v>22271.040000000001</c:v>
                </c:pt>
                <c:pt idx="561">
                  <c:v>51143.399999999994</c:v>
                </c:pt>
                <c:pt idx="562">
                  <c:v>191884</c:v>
                </c:pt>
                <c:pt idx="563">
                  <c:v>303688</c:v>
                </c:pt>
                <c:pt idx="564">
                  <c:v>262570</c:v>
                </c:pt>
                <c:pt idx="565">
                  <c:v>21700.799999999999</c:v>
                </c:pt>
                <c:pt idx="566">
                  <c:v>83160</c:v>
                </c:pt>
                <c:pt idx="567">
                  <c:v>21076.44</c:v>
                </c:pt>
                <c:pt idx="568">
                  <c:v>16841.439999999999</c:v>
                </c:pt>
                <c:pt idx="569">
                  <c:v>33633.599999999999</c:v>
                </c:pt>
                <c:pt idx="570">
                  <c:v>44378.399999999994</c:v>
                </c:pt>
                <c:pt idx="571">
                  <c:v>28100.16</c:v>
                </c:pt>
                <c:pt idx="572">
                  <c:v>26945.599999999999</c:v>
                </c:pt>
                <c:pt idx="573">
                  <c:v>9184.56</c:v>
                </c:pt>
                <c:pt idx="574">
                  <c:v>26945.599999999999</c:v>
                </c:pt>
                <c:pt idx="575">
                  <c:v>29156.16</c:v>
                </c:pt>
                <c:pt idx="576">
                  <c:v>33499.35</c:v>
                </c:pt>
                <c:pt idx="577">
                  <c:v>33499.35</c:v>
                </c:pt>
                <c:pt idx="578">
                  <c:v>281053.5</c:v>
                </c:pt>
                <c:pt idx="579">
                  <c:v>545055</c:v>
                </c:pt>
                <c:pt idx="580">
                  <c:v>7690.8</c:v>
                </c:pt>
                <c:pt idx="581">
                  <c:v>299171.25</c:v>
                </c:pt>
                <c:pt idx="582">
                  <c:v>7904.82</c:v>
                </c:pt>
                <c:pt idx="583">
                  <c:v>6305.76</c:v>
                </c:pt>
                <c:pt idx="584">
                  <c:v>39237</c:v>
                </c:pt>
                <c:pt idx="585">
                  <c:v>21732.6</c:v>
                </c:pt>
                <c:pt idx="586">
                  <c:v>8760.4650000000001</c:v>
                </c:pt>
                <c:pt idx="587">
                  <c:v>210627</c:v>
                </c:pt>
                <c:pt idx="588">
                  <c:v>45953.4</c:v>
                </c:pt>
                <c:pt idx="589">
                  <c:v>47119.199999999997</c:v>
                </c:pt>
                <c:pt idx="590">
                  <c:v>801444</c:v>
                </c:pt>
                <c:pt idx="591">
                  <c:v>172151.25</c:v>
                </c:pt>
                <c:pt idx="592">
                  <c:v>5961.24</c:v>
                </c:pt>
                <c:pt idx="593">
                  <c:v>16418.64</c:v>
                </c:pt>
                <c:pt idx="594">
                  <c:v>20423.25</c:v>
                </c:pt>
                <c:pt idx="595">
                  <c:v>21732.6</c:v>
                </c:pt>
                <c:pt idx="596">
                  <c:v>108706.5</c:v>
                </c:pt>
                <c:pt idx="597">
                  <c:v>10575.72</c:v>
                </c:pt>
                <c:pt idx="598">
                  <c:v>52167.375</c:v>
                </c:pt>
                <c:pt idx="599">
                  <c:v>801444</c:v>
                </c:pt>
                <c:pt idx="600">
                  <c:v>7247.1</c:v>
                </c:pt>
                <c:pt idx="601">
                  <c:v>6305.76</c:v>
                </c:pt>
                <c:pt idx="602">
                  <c:v>8613</c:v>
                </c:pt>
                <c:pt idx="603">
                  <c:v>4280.3999999999996</c:v>
                </c:pt>
                <c:pt idx="604">
                  <c:v>679905</c:v>
                </c:pt>
                <c:pt idx="605">
                  <c:v>10575.72</c:v>
                </c:pt>
                <c:pt idx="606">
                  <c:v>172151.25</c:v>
                </c:pt>
                <c:pt idx="607">
                  <c:v>20423.25</c:v>
                </c:pt>
                <c:pt idx="608">
                  <c:v>180416.25</c:v>
                </c:pt>
                <c:pt idx="609">
                  <c:v>7247.1</c:v>
                </c:pt>
                <c:pt idx="610">
                  <c:v>4280.3999999999996</c:v>
                </c:pt>
                <c:pt idx="611">
                  <c:v>18478.8</c:v>
                </c:pt>
                <c:pt idx="612">
                  <c:v>44358.8</c:v>
                </c:pt>
                <c:pt idx="613">
                  <c:v>29979.599999999999</c:v>
                </c:pt>
                <c:pt idx="614">
                  <c:v>18035.919999999998</c:v>
                </c:pt>
                <c:pt idx="615">
                  <c:v>1685.6</c:v>
                </c:pt>
                <c:pt idx="616">
                  <c:v>1763.8600000000001</c:v>
                </c:pt>
                <c:pt idx="617">
                  <c:v>18035.919999999998</c:v>
                </c:pt>
                <c:pt idx="618">
                  <c:v>3586.2</c:v>
                </c:pt>
                <c:pt idx="619">
                  <c:v>41761.599999999999</c:v>
                </c:pt>
                <c:pt idx="620">
                  <c:v>22794.3</c:v>
                </c:pt>
                <c:pt idx="621">
                  <c:v>14375.76</c:v>
                </c:pt>
                <c:pt idx="622">
                  <c:v>1685.6</c:v>
                </c:pt>
                <c:pt idx="623">
                  <c:v>14375.76</c:v>
                </c:pt>
                <c:pt idx="624">
                  <c:v>20794.8</c:v>
                </c:pt>
                <c:pt idx="625">
                  <c:v>206658</c:v>
                </c:pt>
                <c:pt idx="626">
                  <c:v>109972.5</c:v>
                </c:pt>
                <c:pt idx="627">
                  <c:v>385968</c:v>
                </c:pt>
                <c:pt idx="628">
                  <c:v>260580</c:v>
                </c:pt>
                <c:pt idx="629">
                  <c:v>19517.7</c:v>
                </c:pt>
                <c:pt idx="630">
                  <c:v>29670</c:v>
                </c:pt>
                <c:pt idx="631">
                  <c:v>303257.5</c:v>
                </c:pt>
                <c:pt idx="632">
                  <c:v>670477.5</c:v>
                </c:pt>
                <c:pt idx="633">
                  <c:v>360899</c:v>
                </c:pt>
                <c:pt idx="634">
                  <c:v>60200</c:v>
                </c:pt>
                <c:pt idx="635">
                  <c:v>2335.7600000000002</c:v>
                </c:pt>
                <c:pt idx="636">
                  <c:v>10396.540000000001</c:v>
                </c:pt>
                <c:pt idx="637">
                  <c:v>29670</c:v>
                </c:pt>
                <c:pt idx="638">
                  <c:v>4472</c:v>
                </c:pt>
                <c:pt idx="639">
                  <c:v>31863</c:v>
                </c:pt>
                <c:pt idx="640">
                  <c:v>22484.7</c:v>
                </c:pt>
                <c:pt idx="641">
                  <c:v>30072.48</c:v>
                </c:pt>
                <c:pt idx="642">
                  <c:v>10420.619999999999</c:v>
                </c:pt>
                <c:pt idx="643">
                  <c:v>210700</c:v>
                </c:pt>
                <c:pt idx="644">
                  <c:v>22931.040000000001</c:v>
                </c:pt>
                <c:pt idx="645">
                  <c:v>354277</c:v>
                </c:pt>
                <c:pt idx="646">
                  <c:v>578522</c:v>
                </c:pt>
                <c:pt idx="647">
                  <c:v>169312.5</c:v>
                </c:pt>
                <c:pt idx="648">
                  <c:v>10423.200000000001</c:v>
                </c:pt>
                <c:pt idx="649">
                  <c:v>634680</c:v>
                </c:pt>
                <c:pt idx="650">
                  <c:v>69402</c:v>
                </c:pt>
                <c:pt idx="651">
                  <c:v>654288</c:v>
                </c:pt>
                <c:pt idx="652">
                  <c:v>17476.060000000001</c:v>
                </c:pt>
                <c:pt idx="653">
                  <c:v>655578</c:v>
                </c:pt>
                <c:pt idx="654">
                  <c:v>69402</c:v>
                </c:pt>
                <c:pt idx="655">
                  <c:v>385968</c:v>
                </c:pt>
                <c:pt idx="656">
                  <c:v>260580</c:v>
                </c:pt>
                <c:pt idx="657">
                  <c:v>385581</c:v>
                </c:pt>
                <c:pt idx="658">
                  <c:v>229104</c:v>
                </c:pt>
                <c:pt idx="659">
                  <c:v>305730</c:v>
                </c:pt>
                <c:pt idx="660">
                  <c:v>25542</c:v>
                </c:pt>
                <c:pt idx="661">
                  <c:v>22484.7</c:v>
                </c:pt>
                <c:pt idx="662">
                  <c:v>30072.48</c:v>
                </c:pt>
                <c:pt idx="663">
                  <c:v>10420.619999999999</c:v>
                </c:pt>
                <c:pt idx="664">
                  <c:v>10396.540000000001</c:v>
                </c:pt>
                <c:pt idx="665">
                  <c:v>24123</c:v>
                </c:pt>
                <c:pt idx="666">
                  <c:v>124737.5</c:v>
                </c:pt>
                <c:pt idx="667">
                  <c:v>293993.75</c:v>
                </c:pt>
                <c:pt idx="668">
                  <c:v>115281.25</c:v>
                </c:pt>
                <c:pt idx="669">
                  <c:v>139230</c:v>
                </c:pt>
                <c:pt idx="670">
                  <c:v>19686</c:v>
                </c:pt>
                <c:pt idx="671">
                  <c:v>20578.5</c:v>
                </c:pt>
                <c:pt idx="672">
                  <c:v>15083.25</c:v>
                </c:pt>
                <c:pt idx="673">
                  <c:v>848172.5</c:v>
                </c:pt>
                <c:pt idx="674">
                  <c:v>32627.25</c:v>
                </c:pt>
                <c:pt idx="675">
                  <c:v>4539</c:v>
                </c:pt>
                <c:pt idx="676">
                  <c:v>115281.25</c:v>
                </c:pt>
                <c:pt idx="677">
                  <c:v>14981.25</c:v>
                </c:pt>
                <c:pt idx="678">
                  <c:v>597082.5</c:v>
                </c:pt>
                <c:pt idx="679">
                  <c:v>639922.5</c:v>
                </c:pt>
                <c:pt idx="680">
                  <c:v>9322.7999999999993</c:v>
                </c:pt>
                <c:pt idx="681">
                  <c:v>4981</c:v>
                </c:pt>
                <c:pt idx="682">
                  <c:v>5100</c:v>
                </c:pt>
                <c:pt idx="683">
                  <c:v>36031.5</c:v>
                </c:pt>
                <c:pt idx="684">
                  <c:v>70443.75</c:v>
                </c:pt>
                <c:pt idx="685">
                  <c:v>656370</c:v>
                </c:pt>
                <c:pt idx="686">
                  <c:v>259037.5</c:v>
                </c:pt>
                <c:pt idx="687">
                  <c:v>9322.7999999999993</c:v>
                </c:pt>
                <c:pt idx="688">
                  <c:v>14713.5</c:v>
                </c:pt>
                <c:pt idx="689">
                  <c:v>6273</c:v>
                </c:pt>
                <c:pt idx="690">
                  <c:v>4539</c:v>
                </c:pt>
                <c:pt idx="691">
                  <c:v>14981.25</c:v>
                </c:pt>
                <c:pt idx="692">
                  <c:v>313862.5</c:v>
                </c:pt>
                <c:pt idx="693">
                  <c:v>58650</c:v>
                </c:pt>
                <c:pt idx="694">
                  <c:v>4981</c:v>
                </c:pt>
                <c:pt idx="695">
                  <c:v>631125</c:v>
                </c:pt>
                <c:pt idx="696">
                  <c:v>139230</c:v>
                </c:pt>
                <c:pt idx="697">
                  <c:v>8139.6</c:v>
                </c:pt>
                <c:pt idx="698">
                  <c:v>4301.8500000000004</c:v>
                </c:pt>
                <c:pt idx="699">
                  <c:v>18421.2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2-4DBF-80D7-FD7EBAC4B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782864"/>
        <c:axId val="967783696"/>
      </c:scatterChart>
      <c:valAx>
        <c:axId val="96778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83696"/>
        <c:crosses val="autoZero"/>
        <c:crossBetween val="midCat"/>
      </c:valAx>
      <c:valAx>
        <c:axId val="96778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8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vs </a:t>
            </a:r>
            <a:r>
              <a:rPr lang="en-IN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'Sactter plot data'!$C$1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'Sactter plot data'!$B$2:$B$701</c:f>
              <c:numCache>
                <c:formatCode>_("$"* #,##0.00_);_("$"* \(#,##0.00\);_("$"* "-"??_);_(@_)</c:formatCode>
                <c:ptCount val="700"/>
                <c:pt idx="0">
                  <c:v>32370</c:v>
                </c:pt>
                <c:pt idx="1">
                  <c:v>26420</c:v>
                </c:pt>
                <c:pt idx="2">
                  <c:v>32670</c:v>
                </c:pt>
                <c:pt idx="3">
                  <c:v>13320</c:v>
                </c:pt>
                <c:pt idx="4">
                  <c:v>37050</c:v>
                </c:pt>
                <c:pt idx="5">
                  <c:v>529550</c:v>
                </c:pt>
                <c:pt idx="6">
                  <c:v>13815</c:v>
                </c:pt>
                <c:pt idx="7">
                  <c:v>30216</c:v>
                </c:pt>
                <c:pt idx="8">
                  <c:v>37980</c:v>
                </c:pt>
                <c:pt idx="9">
                  <c:v>18540</c:v>
                </c:pt>
                <c:pt idx="10">
                  <c:v>37050</c:v>
                </c:pt>
                <c:pt idx="11">
                  <c:v>333187.5</c:v>
                </c:pt>
                <c:pt idx="12">
                  <c:v>287400</c:v>
                </c:pt>
                <c:pt idx="13">
                  <c:v>15022</c:v>
                </c:pt>
                <c:pt idx="14">
                  <c:v>43125</c:v>
                </c:pt>
                <c:pt idx="15">
                  <c:v>9225</c:v>
                </c:pt>
                <c:pt idx="16">
                  <c:v>5840</c:v>
                </c:pt>
                <c:pt idx="17">
                  <c:v>14610</c:v>
                </c:pt>
                <c:pt idx="18">
                  <c:v>30216</c:v>
                </c:pt>
                <c:pt idx="19">
                  <c:v>352100</c:v>
                </c:pt>
                <c:pt idx="20">
                  <c:v>4404</c:v>
                </c:pt>
                <c:pt idx="21">
                  <c:v>6181</c:v>
                </c:pt>
                <c:pt idx="22">
                  <c:v>8235</c:v>
                </c:pt>
                <c:pt idx="23">
                  <c:v>236400</c:v>
                </c:pt>
                <c:pt idx="24">
                  <c:v>37080</c:v>
                </c:pt>
                <c:pt idx="25">
                  <c:v>8001</c:v>
                </c:pt>
                <c:pt idx="26">
                  <c:v>603750</c:v>
                </c:pt>
                <c:pt idx="27">
                  <c:v>10944</c:v>
                </c:pt>
                <c:pt idx="28">
                  <c:v>32280</c:v>
                </c:pt>
                <c:pt idx="29">
                  <c:v>36340</c:v>
                </c:pt>
                <c:pt idx="30">
                  <c:v>529550</c:v>
                </c:pt>
                <c:pt idx="31">
                  <c:v>10451</c:v>
                </c:pt>
                <c:pt idx="32">
                  <c:v>225500</c:v>
                </c:pt>
                <c:pt idx="33">
                  <c:v>25932</c:v>
                </c:pt>
                <c:pt idx="34">
                  <c:v>352100</c:v>
                </c:pt>
                <c:pt idx="35">
                  <c:v>18540</c:v>
                </c:pt>
                <c:pt idx="36">
                  <c:v>352625</c:v>
                </c:pt>
                <c:pt idx="37">
                  <c:v>43125</c:v>
                </c:pt>
                <c:pt idx="38">
                  <c:v>600300</c:v>
                </c:pt>
                <c:pt idx="39">
                  <c:v>34056</c:v>
                </c:pt>
                <c:pt idx="40">
                  <c:v>32670</c:v>
                </c:pt>
                <c:pt idx="41">
                  <c:v>13320</c:v>
                </c:pt>
                <c:pt idx="42">
                  <c:v>534450</c:v>
                </c:pt>
                <c:pt idx="43">
                  <c:v>645300</c:v>
                </c:pt>
                <c:pt idx="44">
                  <c:v>36340</c:v>
                </c:pt>
                <c:pt idx="45">
                  <c:v>962500</c:v>
                </c:pt>
                <c:pt idx="46">
                  <c:v>23436</c:v>
                </c:pt>
                <c:pt idx="47">
                  <c:v>527437.5</c:v>
                </c:pt>
                <c:pt idx="48">
                  <c:v>37980</c:v>
                </c:pt>
                <c:pt idx="49">
                  <c:v>11802</c:v>
                </c:pt>
                <c:pt idx="50">
                  <c:v>25692</c:v>
                </c:pt>
                <c:pt idx="51">
                  <c:v>8001</c:v>
                </c:pt>
                <c:pt idx="52">
                  <c:v>9225</c:v>
                </c:pt>
                <c:pt idx="53">
                  <c:v>27338.850000000002</c:v>
                </c:pt>
                <c:pt idx="54">
                  <c:v>34095.599999999999</c:v>
                </c:pt>
                <c:pt idx="55">
                  <c:v>7137.9</c:v>
                </c:pt>
                <c:pt idx="56">
                  <c:v>4428.2700000000004</c:v>
                </c:pt>
                <c:pt idx="57">
                  <c:v>9189.18</c:v>
                </c:pt>
                <c:pt idx="58">
                  <c:v>22073.040000000001</c:v>
                </c:pt>
                <c:pt idx="59">
                  <c:v>419265</c:v>
                </c:pt>
                <c:pt idx="60">
                  <c:v>17525.97</c:v>
                </c:pt>
                <c:pt idx="61">
                  <c:v>17166.599999999999</c:v>
                </c:pt>
                <c:pt idx="62">
                  <c:v>40837.5</c:v>
                </c:pt>
                <c:pt idx="63">
                  <c:v>31731.48</c:v>
                </c:pt>
                <c:pt idx="64">
                  <c:v>9100.08</c:v>
                </c:pt>
                <c:pt idx="65">
                  <c:v>146718</c:v>
                </c:pt>
                <c:pt idx="66">
                  <c:v>484060.5</c:v>
                </c:pt>
                <c:pt idx="67">
                  <c:v>746707.5</c:v>
                </c:pt>
                <c:pt idx="68">
                  <c:v>32877.9</c:v>
                </c:pt>
                <c:pt idx="69">
                  <c:v>683397</c:v>
                </c:pt>
                <c:pt idx="70">
                  <c:v>27234.899999999998</c:v>
                </c:pt>
                <c:pt idx="71">
                  <c:v>12681.9</c:v>
                </c:pt>
                <c:pt idx="72">
                  <c:v>741906</c:v>
                </c:pt>
                <c:pt idx="73">
                  <c:v>82046.25</c:v>
                </c:pt>
                <c:pt idx="74">
                  <c:v>22482.9</c:v>
                </c:pt>
                <c:pt idx="75">
                  <c:v>31133.024999999998</c:v>
                </c:pt>
                <c:pt idx="76">
                  <c:v>89966.25</c:v>
                </c:pt>
                <c:pt idx="77">
                  <c:v>97391.25</c:v>
                </c:pt>
                <c:pt idx="78">
                  <c:v>225596.25</c:v>
                </c:pt>
                <c:pt idx="79">
                  <c:v>11092.95</c:v>
                </c:pt>
                <c:pt idx="80">
                  <c:v>9100.08</c:v>
                </c:pt>
                <c:pt idx="81">
                  <c:v>862785</c:v>
                </c:pt>
                <c:pt idx="82">
                  <c:v>746707.5</c:v>
                </c:pt>
                <c:pt idx="83">
                  <c:v>76507.200000000012</c:v>
                </c:pt>
                <c:pt idx="84">
                  <c:v>2508.66</c:v>
                </c:pt>
                <c:pt idx="85">
                  <c:v>114221.25</c:v>
                </c:pt>
                <c:pt idx="86">
                  <c:v>82046.25</c:v>
                </c:pt>
                <c:pt idx="87">
                  <c:v>14497.56</c:v>
                </c:pt>
                <c:pt idx="88">
                  <c:v>1822.59</c:v>
                </c:pt>
                <c:pt idx="89">
                  <c:v>326922.75</c:v>
                </c:pt>
                <c:pt idx="90">
                  <c:v>89966.25</c:v>
                </c:pt>
                <c:pt idx="91">
                  <c:v>97391.25</c:v>
                </c:pt>
                <c:pt idx="92">
                  <c:v>292842</c:v>
                </c:pt>
                <c:pt idx="93">
                  <c:v>146718</c:v>
                </c:pt>
                <c:pt idx="94">
                  <c:v>484060.5</c:v>
                </c:pt>
                <c:pt idx="95">
                  <c:v>215820</c:v>
                </c:pt>
                <c:pt idx="96">
                  <c:v>23629.32</c:v>
                </c:pt>
                <c:pt idx="97">
                  <c:v>4766.8500000000004</c:v>
                </c:pt>
                <c:pt idx="98">
                  <c:v>90956.25</c:v>
                </c:pt>
                <c:pt idx="99">
                  <c:v>15229.2</c:v>
                </c:pt>
                <c:pt idx="100">
                  <c:v>62916</c:v>
                </c:pt>
                <c:pt idx="101">
                  <c:v>14714.7</c:v>
                </c:pt>
                <c:pt idx="102">
                  <c:v>978236</c:v>
                </c:pt>
                <c:pt idx="103">
                  <c:v>13429.92</c:v>
                </c:pt>
                <c:pt idx="104">
                  <c:v>30693.599999999999</c:v>
                </c:pt>
                <c:pt idx="105">
                  <c:v>8114.4</c:v>
                </c:pt>
                <c:pt idx="106">
                  <c:v>203350</c:v>
                </c:pt>
                <c:pt idx="107">
                  <c:v>34736.1</c:v>
                </c:pt>
                <c:pt idx="108">
                  <c:v>269892</c:v>
                </c:pt>
                <c:pt idx="109">
                  <c:v>508032</c:v>
                </c:pt>
                <c:pt idx="110">
                  <c:v>13429.92</c:v>
                </c:pt>
                <c:pt idx="111">
                  <c:v>81095</c:v>
                </c:pt>
                <c:pt idx="112">
                  <c:v>15229.2</c:v>
                </c:pt>
                <c:pt idx="113">
                  <c:v>99102.5</c:v>
                </c:pt>
                <c:pt idx="114">
                  <c:v>262762.5</c:v>
                </c:pt>
                <c:pt idx="115">
                  <c:v>20991.599999999999</c:v>
                </c:pt>
                <c:pt idx="116">
                  <c:v>563304</c:v>
                </c:pt>
                <c:pt idx="117">
                  <c:v>978236</c:v>
                </c:pt>
                <c:pt idx="118">
                  <c:v>334302.5</c:v>
                </c:pt>
                <c:pt idx="119">
                  <c:v>28297.5</c:v>
                </c:pt>
                <c:pt idx="120">
                  <c:v>13809.18</c:v>
                </c:pt>
                <c:pt idx="121">
                  <c:v>12406.8</c:v>
                </c:pt>
                <c:pt idx="122">
                  <c:v>12747.84</c:v>
                </c:pt>
                <c:pt idx="123">
                  <c:v>30693.599999999999</c:v>
                </c:pt>
                <c:pt idx="124">
                  <c:v>1017338</c:v>
                </c:pt>
                <c:pt idx="125">
                  <c:v>986811</c:v>
                </c:pt>
                <c:pt idx="126">
                  <c:v>99102.5</c:v>
                </c:pt>
                <c:pt idx="127">
                  <c:v>262762.5</c:v>
                </c:pt>
                <c:pt idx="128">
                  <c:v>12406.8</c:v>
                </c:pt>
                <c:pt idx="129">
                  <c:v>10662.4</c:v>
                </c:pt>
                <c:pt idx="130">
                  <c:v>12747.84</c:v>
                </c:pt>
                <c:pt idx="131">
                  <c:v>81095</c:v>
                </c:pt>
                <c:pt idx="132">
                  <c:v>62916</c:v>
                </c:pt>
                <c:pt idx="133">
                  <c:v>986811</c:v>
                </c:pt>
                <c:pt idx="134">
                  <c:v>334302.5</c:v>
                </c:pt>
                <c:pt idx="135">
                  <c:v>91238</c:v>
                </c:pt>
                <c:pt idx="136">
                  <c:v>665420</c:v>
                </c:pt>
                <c:pt idx="137">
                  <c:v>76146</c:v>
                </c:pt>
                <c:pt idx="138">
                  <c:v>323694</c:v>
                </c:pt>
                <c:pt idx="139">
                  <c:v>278810</c:v>
                </c:pt>
                <c:pt idx="140">
                  <c:v>1017338</c:v>
                </c:pt>
                <c:pt idx="141">
                  <c:v>24225.599999999999</c:v>
                </c:pt>
                <c:pt idx="142">
                  <c:v>18443.599999999999</c:v>
                </c:pt>
                <c:pt idx="143">
                  <c:v>563304</c:v>
                </c:pt>
                <c:pt idx="144">
                  <c:v>514524.375</c:v>
                </c:pt>
                <c:pt idx="145">
                  <c:v>50052</c:v>
                </c:pt>
                <c:pt idx="146">
                  <c:v>200499</c:v>
                </c:pt>
                <c:pt idx="147">
                  <c:v>22663.08</c:v>
                </c:pt>
                <c:pt idx="148">
                  <c:v>10569.12</c:v>
                </c:pt>
                <c:pt idx="149">
                  <c:v>13294.82</c:v>
                </c:pt>
                <c:pt idx="150">
                  <c:v>22127.64</c:v>
                </c:pt>
                <c:pt idx="151">
                  <c:v>3693.76</c:v>
                </c:pt>
                <c:pt idx="152">
                  <c:v>610081.5</c:v>
                </c:pt>
                <c:pt idx="153">
                  <c:v>156048.75</c:v>
                </c:pt>
                <c:pt idx="154">
                  <c:v>206852.5</c:v>
                </c:pt>
                <c:pt idx="155">
                  <c:v>708439.5</c:v>
                </c:pt>
                <c:pt idx="156">
                  <c:v>215097.5</c:v>
                </c:pt>
                <c:pt idx="157">
                  <c:v>22127.64</c:v>
                </c:pt>
                <c:pt idx="158">
                  <c:v>200499</c:v>
                </c:pt>
                <c:pt idx="159">
                  <c:v>190362.5</c:v>
                </c:pt>
                <c:pt idx="160">
                  <c:v>15940.98</c:v>
                </c:pt>
                <c:pt idx="161">
                  <c:v>243591.25</c:v>
                </c:pt>
                <c:pt idx="162">
                  <c:v>28299.75</c:v>
                </c:pt>
                <c:pt idx="163">
                  <c:v>156048.75</c:v>
                </c:pt>
                <c:pt idx="164">
                  <c:v>206852.5</c:v>
                </c:pt>
                <c:pt idx="165">
                  <c:v>243591.25</c:v>
                </c:pt>
                <c:pt idx="166">
                  <c:v>827604</c:v>
                </c:pt>
                <c:pt idx="167">
                  <c:v>22302.240000000002</c:v>
                </c:pt>
                <c:pt idx="168">
                  <c:v>190362.5</c:v>
                </c:pt>
                <c:pt idx="169">
                  <c:v>545334</c:v>
                </c:pt>
                <c:pt idx="170">
                  <c:v>557459</c:v>
                </c:pt>
                <c:pt idx="171">
                  <c:v>28299.75</c:v>
                </c:pt>
                <c:pt idx="172">
                  <c:v>16121.4</c:v>
                </c:pt>
                <c:pt idx="173">
                  <c:v>11950.4</c:v>
                </c:pt>
                <c:pt idx="174">
                  <c:v>74699.700000000012</c:v>
                </c:pt>
                <c:pt idx="175">
                  <c:v>28855.56</c:v>
                </c:pt>
                <c:pt idx="176">
                  <c:v>29246.400000000001</c:v>
                </c:pt>
                <c:pt idx="177">
                  <c:v>29246.400000000001</c:v>
                </c:pt>
                <c:pt idx="178">
                  <c:v>32558.400000000001</c:v>
                </c:pt>
                <c:pt idx="179">
                  <c:v>14131.2</c:v>
                </c:pt>
                <c:pt idx="180">
                  <c:v>19158.72</c:v>
                </c:pt>
                <c:pt idx="181">
                  <c:v>582048</c:v>
                </c:pt>
                <c:pt idx="182">
                  <c:v>92064</c:v>
                </c:pt>
                <c:pt idx="183">
                  <c:v>28324.799999999999</c:v>
                </c:pt>
                <c:pt idx="184">
                  <c:v>535392</c:v>
                </c:pt>
                <c:pt idx="185">
                  <c:v>19158.72</c:v>
                </c:pt>
                <c:pt idx="186">
                  <c:v>582048</c:v>
                </c:pt>
                <c:pt idx="187">
                  <c:v>136560</c:v>
                </c:pt>
                <c:pt idx="188">
                  <c:v>28566.720000000001</c:v>
                </c:pt>
                <c:pt idx="189">
                  <c:v>95400</c:v>
                </c:pt>
                <c:pt idx="190">
                  <c:v>407376</c:v>
                </c:pt>
                <c:pt idx="191">
                  <c:v>840384</c:v>
                </c:pt>
                <c:pt idx="192">
                  <c:v>1159200</c:v>
                </c:pt>
                <c:pt idx="193">
                  <c:v>358560</c:v>
                </c:pt>
                <c:pt idx="194">
                  <c:v>3139.2</c:v>
                </c:pt>
                <c:pt idx="195">
                  <c:v>39820.800000000003</c:v>
                </c:pt>
                <c:pt idx="196">
                  <c:v>20275.2</c:v>
                </c:pt>
                <c:pt idx="197">
                  <c:v>9662.4</c:v>
                </c:pt>
                <c:pt idx="198">
                  <c:v>21801.599999999999</c:v>
                </c:pt>
                <c:pt idx="199">
                  <c:v>92064</c:v>
                </c:pt>
                <c:pt idx="200">
                  <c:v>136560</c:v>
                </c:pt>
                <c:pt idx="201">
                  <c:v>16876.8</c:v>
                </c:pt>
                <c:pt idx="202">
                  <c:v>50803.199999999997</c:v>
                </c:pt>
                <c:pt idx="203">
                  <c:v>731472</c:v>
                </c:pt>
                <c:pt idx="204">
                  <c:v>9976.32</c:v>
                </c:pt>
                <c:pt idx="205">
                  <c:v>117264</c:v>
                </c:pt>
                <c:pt idx="206">
                  <c:v>731472</c:v>
                </c:pt>
                <c:pt idx="207">
                  <c:v>21801.599999999999</c:v>
                </c:pt>
                <c:pt idx="208">
                  <c:v>626640</c:v>
                </c:pt>
                <c:pt idx="209">
                  <c:v>128880</c:v>
                </c:pt>
                <c:pt idx="210">
                  <c:v>640752</c:v>
                </c:pt>
                <c:pt idx="211">
                  <c:v>9662.4</c:v>
                </c:pt>
                <c:pt idx="212">
                  <c:v>597408</c:v>
                </c:pt>
                <c:pt idx="213">
                  <c:v>7707.35</c:v>
                </c:pt>
                <c:pt idx="214">
                  <c:v>9123.7999999999993</c:v>
                </c:pt>
                <c:pt idx="215">
                  <c:v>15620.85</c:v>
                </c:pt>
                <c:pt idx="216">
                  <c:v>17881.849999999999</c:v>
                </c:pt>
                <c:pt idx="217">
                  <c:v>27713.4</c:v>
                </c:pt>
                <c:pt idx="218">
                  <c:v>27713.4</c:v>
                </c:pt>
                <c:pt idx="219">
                  <c:v>17881.849999999999</c:v>
                </c:pt>
                <c:pt idx="220">
                  <c:v>11191.95</c:v>
                </c:pt>
                <c:pt idx="221">
                  <c:v>12802.2</c:v>
                </c:pt>
                <c:pt idx="222">
                  <c:v>7707.35</c:v>
                </c:pt>
                <c:pt idx="223">
                  <c:v>21261</c:v>
                </c:pt>
                <c:pt idx="224">
                  <c:v>12722.4</c:v>
                </c:pt>
                <c:pt idx="225">
                  <c:v>29697</c:v>
                </c:pt>
                <c:pt idx="226">
                  <c:v>282435</c:v>
                </c:pt>
                <c:pt idx="227">
                  <c:v>6756.4</c:v>
                </c:pt>
                <c:pt idx="228">
                  <c:v>39771.75</c:v>
                </c:pt>
                <c:pt idx="229">
                  <c:v>3790.5</c:v>
                </c:pt>
                <c:pt idx="230">
                  <c:v>16538.55</c:v>
                </c:pt>
                <c:pt idx="231">
                  <c:v>460346.25</c:v>
                </c:pt>
                <c:pt idx="232">
                  <c:v>430706.25</c:v>
                </c:pt>
                <c:pt idx="233">
                  <c:v>239400</c:v>
                </c:pt>
                <c:pt idx="234">
                  <c:v>26698.799999999999</c:v>
                </c:pt>
                <c:pt idx="235">
                  <c:v>313500</c:v>
                </c:pt>
                <c:pt idx="236">
                  <c:v>24757</c:v>
                </c:pt>
                <c:pt idx="237">
                  <c:v>355300</c:v>
                </c:pt>
                <c:pt idx="238">
                  <c:v>283218.75</c:v>
                </c:pt>
                <c:pt idx="239">
                  <c:v>457995</c:v>
                </c:pt>
                <c:pt idx="240">
                  <c:v>15474.55</c:v>
                </c:pt>
                <c:pt idx="241">
                  <c:v>282435</c:v>
                </c:pt>
                <c:pt idx="242">
                  <c:v>200165</c:v>
                </c:pt>
                <c:pt idx="243">
                  <c:v>37335</c:v>
                </c:pt>
                <c:pt idx="244">
                  <c:v>408310</c:v>
                </c:pt>
                <c:pt idx="245">
                  <c:v>26391</c:v>
                </c:pt>
                <c:pt idx="246">
                  <c:v>102243.75</c:v>
                </c:pt>
                <c:pt idx="247">
                  <c:v>83600</c:v>
                </c:pt>
                <c:pt idx="248">
                  <c:v>34238</c:v>
                </c:pt>
                <c:pt idx="249">
                  <c:v>50597</c:v>
                </c:pt>
                <c:pt idx="250">
                  <c:v>14204.4</c:v>
                </c:pt>
                <c:pt idx="251">
                  <c:v>30153</c:v>
                </c:pt>
                <c:pt idx="252">
                  <c:v>7908.75</c:v>
                </c:pt>
                <c:pt idx="253">
                  <c:v>40769.25</c:v>
                </c:pt>
                <c:pt idx="254">
                  <c:v>95831.25</c:v>
                </c:pt>
                <c:pt idx="255">
                  <c:v>200165</c:v>
                </c:pt>
                <c:pt idx="256">
                  <c:v>53808</c:v>
                </c:pt>
                <c:pt idx="257">
                  <c:v>30001</c:v>
                </c:pt>
                <c:pt idx="258">
                  <c:v>102243.75</c:v>
                </c:pt>
                <c:pt idx="259">
                  <c:v>83600</c:v>
                </c:pt>
                <c:pt idx="260">
                  <c:v>19627</c:v>
                </c:pt>
                <c:pt idx="261">
                  <c:v>356250</c:v>
                </c:pt>
                <c:pt idx="262">
                  <c:v>26391</c:v>
                </c:pt>
                <c:pt idx="263">
                  <c:v>24035</c:v>
                </c:pt>
                <c:pt idx="264">
                  <c:v>43643</c:v>
                </c:pt>
                <c:pt idx="265">
                  <c:v>50597</c:v>
                </c:pt>
                <c:pt idx="266">
                  <c:v>3790.5</c:v>
                </c:pt>
                <c:pt idx="267">
                  <c:v>16538.55</c:v>
                </c:pt>
                <c:pt idx="268">
                  <c:v>448875</c:v>
                </c:pt>
                <c:pt idx="269">
                  <c:v>183540</c:v>
                </c:pt>
                <c:pt idx="270">
                  <c:v>408310</c:v>
                </c:pt>
                <c:pt idx="271">
                  <c:v>356250</c:v>
                </c:pt>
                <c:pt idx="272">
                  <c:v>53594.100000000006</c:v>
                </c:pt>
                <c:pt idx="273">
                  <c:v>21009</c:v>
                </c:pt>
                <c:pt idx="274">
                  <c:v>40100.400000000001</c:v>
                </c:pt>
                <c:pt idx="275">
                  <c:v>6339.36</c:v>
                </c:pt>
                <c:pt idx="276">
                  <c:v>25932.720000000001</c:v>
                </c:pt>
                <c:pt idx="277">
                  <c:v>28623</c:v>
                </c:pt>
                <c:pt idx="278">
                  <c:v>1730.54</c:v>
                </c:pt>
                <c:pt idx="279">
                  <c:v>104222.5</c:v>
                </c:pt>
                <c:pt idx="280">
                  <c:v>322420</c:v>
                </c:pt>
                <c:pt idx="281">
                  <c:v>480340</c:v>
                </c:pt>
                <c:pt idx="282">
                  <c:v>9231.74</c:v>
                </c:pt>
                <c:pt idx="283">
                  <c:v>30715.439999999999</c:v>
                </c:pt>
                <c:pt idx="284">
                  <c:v>492184</c:v>
                </c:pt>
                <c:pt idx="285">
                  <c:v>25932.720000000001</c:v>
                </c:pt>
                <c:pt idx="286">
                  <c:v>239183</c:v>
                </c:pt>
                <c:pt idx="287">
                  <c:v>111860</c:v>
                </c:pt>
                <c:pt idx="288">
                  <c:v>323712.5</c:v>
                </c:pt>
                <c:pt idx="289">
                  <c:v>21573</c:v>
                </c:pt>
                <c:pt idx="290">
                  <c:v>492184</c:v>
                </c:pt>
                <c:pt idx="291">
                  <c:v>9856.84</c:v>
                </c:pt>
                <c:pt idx="292">
                  <c:v>344322</c:v>
                </c:pt>
                <c:pt idx="293">
                  <c:v>683004</c:v>
                </c:pt>
                <c:pt idx="294">
                  <c:v>40100.400000000001</c:v>
                </c:pt>
                <c:pt idx="295">
                  <c:v>9856.84</c:v>
                </c:pt>
                <c:pt idx="296">
                  <c:v>344322</c:v>
                </c:pt>
                <c:pt idx="297">
                  <c:v>21112.400000000001</c:v>
                </c:pt>
                <c:pt idx="298">
                  <c:v>686952</c:v>
                </c:pt>
                <c:pt idx="299">
                  <c:v>233531.25</c:v>
                </c:pt>
                <c:pt idx="300">
                  <c:v>552391</c:v>
                </c:pt>
                <c:pt idx="301">
                  <c:v>239183</c:v>
                </c:pt>
                <c:pt idx="302">
                  <c:v>9231.74</c:v>
                </c:pt>
                <c:pt idx="303">
                  <c:v>683004</c:v>
                </c:pt>
                <c:pt idx="304">
                  <c:v>33031.599999999999</c:v>
                </c:pt>
                <c:pt idx="305">
                  <c:v>30991.8</c:v>
                </c:pt>
                <c:pt idx="306">
                  <c:v>24576.3</c:v>
                </c:pt>
                <c:pt idx="307">
                  <c:v>16257.3</c:v>
                </c:pt>
                <c:pt idx="308">
                  <c:v>33031.599999999999</c:v>
                </c:pt>
                <c:pt idx="309">
                  <c:v>18818.8</c:v>
                </c:pt>
                <c:pt idx="310">
                  <c:v>8771.14</c:v>
                </c:pt>
                <c:pt idx="311">
                  <c:v>16257.3</c:v>
                </c:pt>
                <c:pt idx="312">
                  <c:v>8113.32</c:v>
                </c:pt>
                <c:pt idx="313">
                  <c:v>21025.439999999999</c:v>
                </c:pt>
                <c:pt idx="314">
                  <c:v>34112.400000000001</c:v>
                </c:pt>
                <c:pt idx="315">
                  <c:v>26114.400000000001</c:v>
                </c:pt>
                <c:pt idx="316">
                  <c:v>26136.720000000001</c:v>
                </c:pt>
                <c:pt idx="317">
                  <c:v>6711.81</c:v>
                </c:pt>
                <c:pt idx="318">
                  <c:v>17604.900000000001</c:v>
                </c:pt>
                <c:pt idx="319">
                  <c:v>7388.85</c:v>
                </c:pt>
                <c:pt idx="320">
                  <c:v>3560.9700000000003</c:v>
                </c:pt>
                <c:pt idx="321">
                  <c:v>10298.82</c:v>
                </c:pt>
                <c:pt idx="322">
                  <c:v>19401.66</c:v>
                </c:pt>
                <c:pt idx="323">
                  <c:v>24719.4</c:v>
                </c:pt>
                <c:pt idx="324">
                  <c:v>10298.82</c:v>
                </c:pt>
                <c:pt idx="325">
                  <c:v>7388.85</c:v>
                </c:pt>
                <c:pt idx="326">
                  <c:v>573205.5</c:v>
                </c:pt>
                <c:pt idx="327">
                  <c:v>124992</c:v>
                </c:pt>
                <c:pt idx="328">
                  <c:v>608499</c:v>
                </c:pt>
                <c:pt idx="329">
                  <c:v>36753.599999999999</c:v>
                </c:pt>
                <c:pt idx="330">
                  <c:v>608499</c:v>
                </c:pt>
                <c:pt idx="331">
                  <c:v>290625</c:v>
                </c:pt>
                <c:pt idx="332">
                  <c:v>474858</c:v>
                </c:pt>
                <c:pt idx="333">
                  <c:v>124992</c:v>
                </c:pt>
                <c:pt idx="334">
                  <c:v>408386.25</c:v>
                </c:pt>
                <c:pt idx="335">
                  <c:v>29308.95</c:v>
                </c:pt>
                <c:pt idx="336">
                  <c:v>40887.449999999997</c:v>
                </c:pt>
                <c:pt idx="337">
                  <c:v>28551</c:v>
                </c:pt>
                <c:pt idx="338">
                  <c:v>313317</c:v>
                </c:pt>
                <c:pt idx="339">
                  <c:v>391716</c:v>
                </c:pt>
                <c:pt idx="340">
                  <c:v>30835.08</c:v>
                </c:pt>
                <c:pt idx="341">
                  <c:v>13833.75</c:v>
                </c:pt>
                <c:pt idx="342">
                  <c:v>462861</c:v>
                </c:pt>
                <c:pt idx="343">
                  <c:v>11327.4</c:v>
                </c:pt>
                <c:pt idx="344">
                  <c:v>242613.75</c:v>
                </c:pt>
                <c:pt idx="345">
                  <c:v>36753.599999999999</c:v>
                </c:pt>
                <c:pt idx="346">
                  <c:v>26430.6</c:v>
                </c:pt>
                <c:pt idx="347">
                  <c:v>382788</c:v>
                </c:pt>
                <c:pt idx="348">
                  <c:v>10936.8</c:v>
                </c:pt>
                <c:pt idx="349">
                  <c:v>36208.620000000003</c:v>
                </c:pt>
                <c:pt idx="350">
                  <c:v>267561</c:v>
                </c:pt>
                <c:pt idx="351">
                  <c:v>766413</c:v>
                </c:pt>
                <c:pt idx="352">
                  <c:v>191231.25</c:v>
                </c:pt>
                <c:pt idx="353">
                  <c:v>936138</c:v>
                </c:pt>
                <c:pt idx="354">
                  <c:v>115552.5</c:v>
                </c:pt>
                <c:pt idx="355">
                  <c:v>20794.8</c:v>
                </c:pt>
                <c:pt idx="356">
                  <c:v>382788</c:v>
                </c:pt>
                <c:pt idx="357">
                  <c:v>3142.7200000000003</c:v>
                </c:pt>
                <c:pt idx="358">
                  <c:v>23588.799999999999</c:v>
                </c:pt>
                <c:pt idx="359">
                  <c:v>1655.08</c:v>
                </c:pt>
                <c:pt idx="360">
                  <c:v>23588.799999999999</c:v>
                </c:pt>
                <c:pt idx="361">
                  <c:v>177100</c:v>
                </c:pt>
                <c:pt idx="362">
                  <c:v>6762</c:v>
                </c:pt>
                <c:pt idx="363">
                  <c:v>438564</c:v>
                </c:pt>
                <c:pt idx="364">
                  <c:v>34513.800000000003</c:v>
                </c:pt>
                <c:pt idx="365">
                  <c:v>13027.2</c:v>
                </c:pt>
                <c:pt idx="366">
                  <c:v>11868</c:v>
                </c:pt>
                <c:pt idx="367">
                  <c:v>431112</c:v>
                </c:pt>
                <c:pt idx="368">
                  <c:v>354108</c:v>
                </c:pt>
                <c:pt idx="369">
                  <c:v>9811.7999999999993</c:v>
                </c:pt>
                <c:pt idx="370">
                  <c:v>128110</c:v>
                </c:pt>
                <c:pt idx="371">
                  <c:v>8107.96</c:v>
                </c:pt>
                <c:pt idx="372">
                  <c:v>7051.8</c:v>
                </c:pt>
                <c:pt idx="373">
                  <c:v>25134.400000000001</c:v>
                </c:pt>
                <c:pt idx="374">
                  <c:v>678960</c:v>
                </c:pt>
                <c:pt idx="375">
                  <c:v>4366.32</c:v>
                </c:pt>
                <c:pt idx="376">
                  <c:v>10291.120000000001</c:v>
                </c:pt>
                <c:pt idx="377">
                  <c:v>15513.96</c:v>
                </c:pt>
                <c:pt idx="378">
                  <c:v>35585.599999999999</c:v>
                </c:pt>
                <c:pt idx="379">
                  <c:v>55071.199999999997</c:v>
                </c:pt>
                <c:pt idx="380">
                  <c:v>691012</c:v>
                </c:pt>
                <c:pt idx="381">
                  <c:v>12532.24</c:v>
                </c:pt>
                <c:pt idx="382">
                  <c:v>438564</c:v>
                </c:pt>
                <c:pt idx="383">
                  <c:v>6601.92</c:v>
                </c:pt>
                <c:pt idx="384">
                  <c:v>18721.080000000002</c:v>
                </c:pt>
                <c:pt idx="385">
                  <c:v>15056.72</c:v>
                </c:pt>
                <c:pt idx="386">
                  <c:v>106536</c:v>
                </c:pt>
                <c:pt idx="387">
                  <c:v>175260</c:v>
                </c:pt>
                <c:pt idx="388">
                  <c:v>184989</c:v>
                </c:pt>
                <c:pt idx="389">
                  <c:v>15056.72</c:v>
                </c:pt>
                <c:pt idx="390">
                  <c:v>122682</c:v>
                </c:pt>
                <c:pt idx="391">
                  <c:v>135884</c:v>
                </c:pt>
                <c:pt idx="392">
                  <c:v>588984</c:v>
                </c:pt>
                <c:pt idx="393">
                  <c:v>223008</c:v>
                </c:pt>
                <c:pt idx="394">
                  <c:v>13027.2</c:v>
                </c:pt>
                <c:pt idx="395">
                  <c:v>18721.080000000002</c:v>
                </c:pt>
                <c:pt idx="396">
                  <c:v>25134.400000000001</c:v>
                </c:pt>
                <c:pt idx="397">
                  <c:v>678960</c:v>
                </c:pt>
                <c:pt idx="398">
                  <c:v>27968</c:v>
                </c:pt>
                <c:pt idx="399">
                  <c:v>9811.7999999999993</c:v>
                </c:pt>
                <c:pt idx="400">
                  <c:v>15180</c:v>
                </c:pt>
                <c:pt idx="401">
                  <c:v>175260</c:v>
                </c:pt>
                <c:pt idx="402">
                  <c:v>8031.5999999999995</c:v>
                </c:pt>
                <c:pt idx="403">
                  <c:v>298662</c:v>
                </c:pt>
                <c:pt idx="404">
                  <c:v>4007.64</c:v>
                </c:pt>
                <c:pt idx="405">
                  <c:v>1038082.5</c:v>
                </c:pt>
                <c:pt idx="406">
                  <c:v>530621</c:v>
                </c:pt>
                <c:pt idx="407">
                  <c:v>87906</c:v>
                </c:pt>
                <c:pt idx="408">
                  <c:v>25345.32</c:v>
                </c:pt>
                <c:pt idx="409">
                  <c:v>211233.75</c:v>
                </c:pt>
                <c:pt idx="410">
                  <c:v>10262.07</c:v>
                </c:pt>
                <c:pt idx="411">
                  <c:v>318158.75</c:v>
                </c:pt>
                <c:pt idx="412">
                  <c:v>91182</c:v>
                </c:pt>
                <c:pt idx="413">
                  <c:v>700245</c:v>
                </c:pt>
                <c:pt idx="414">
                  <c:v>769814.5</c:v>
                </c:pt>
                <c:pt idx="415">
                  <c:v>50163.75</c:v>
                </c:pt>
                <c:pt idx="416">
                  <c:v>298662</c:v>
                </c:pt>
                <c:pt idx="417">
                  <c:v>16748.55</c:v>
                </c:pt>
                <c:pt idx="418">
                  <c:v>4007.64</c:v>
                </c:pt>
                <c:pt idx="419">
                  <c:v>361452</c:v>
                </c:pt>
                <c:pt idx="420">
                  <c:v>19383</c:v>
                </c:pt>
                <c:pt idx="421">
                  <c:v>318158.75</c:v>
                </c:pt>
                <c:pt idx="422">
                  <c:v>3344.25</c:v>
                </c:pt>
                <c:pt idx="423">
                  <c:v>1035625.5</c:v>
                </c:pt>
                <c:pt idx="424">
                  <c:v>416279.5</c:v>
                </c:pt>
                <c:pt idx="425">
                  <c:v>64496.25</c:v>
                </c:pt>
                <c:pt idx="426">
                  <c:v>240012.5</c:v>
                </c:pt>
                <c:pt idx="427">
                  <c:v>404176.5</c:v>
                </c:pt>
                <c:pt idx="428">
                  <c:v>21359.52</c:v>
                </c:pt>
                <c:pt idx="429">
                  <c:v>725907</c:v>
                </c:pt>
                <c:pt idx="430">
                  <c:v>430452.75</c:v>
                </c:pt>
                <c:pt idx="431">
                  <c:v>9609.6</c:v>
                </c:pt>
                <c:pt idx="432">
                  <c:v>509691</c:v>
                </c:pt>
                <c:pt idx="433">
                  <c:v>24395.279999999999</c:v>
                </c:pt>
                <c:pt idx="434">
                  <c:v>16748.55</c:v>
                </c:pt>
                <c:pt idx="435">
                  <c:v>99758.75</c:v>
                </c:pt>
                <c:pt idx="436">
                  <c:v>659613.5</c:v>
                </c:pt>
                <c:pt idx="437">
                  <c:v>404176.5</c:v>
                </c:pt>
                <c:pt idx="438">
                  <c:v>13240.5</c:v>
                </c:pt>
                <c:pt idx="439">
                  <c:v>30830.799999999999</c:v>
                </c:pt>
                <c:pt idx="440">
                  <c:v>12066.6</c:v>
                </c:pt>
                <c:pt idx="441">
                  <c:v>5217.03</c:v>
                </c:pt>
                <c:pt idx="442">
                  <c:v>17253.599999999999</c:v>
                </c:pt>
                <c:pt idx="443">
                  <c:v>3318.77</c:v>
                </c:pt>
                <c:pt idx="444">
                  <c:v>17708.599999999999</c:v>
                </c:pt>
                <c:pt idx="445">
                  <c:v>18891.599999999999</c:v>
                </c:pt>
                <c:pt idx="446">
                  <c:v>2293.1999999999998</c:v>
                </c:pt>
                <c:pt idx="447">
                  <c:v>21479.64</c:v>
                </c:pt>
                <c:pt idx="448">
                  <c:v>35872.199999999997</c:v>
                </c:pt>
                <c:pt idx="449">
                  <c:v>2293.1999999999998</c:v>
                </c:pt>
                <c:pt idx="450">
                  <c:v>48812.4</c:v>
                </c:pt>
                <c:pt idx="451">
                  <c:v>3318.77</c:v>
                </c:pt>
                <c:pt idx="452">
                  <c:v>18891.599999999999</c:v>
                </c:pt>
                <c:pt idx="453">
                  <c:v>22256.324999999997</c:v>
                </c:pt>
                <c:pt idx="454">
                  <c:v>3341.52</c:v>
                </c:pt>
                <c:pt idx="455">
                  <c:v>4168.8</c:v>
                </c:pt>
                <c:pt idx="456">
                  <c:v>14666.4</c:v>
                </c:pt>
                <c:pt idx="457">
                  <c:v>4168.8</c:v>
                </c:pt>
                <c:pt idx="458">
                  <c:v>387618.75</c:v>
                </c:pt>
                <c:pt idx="459">
                  <c:v>166725</c:v>
                </c:pt>
                <c:pt idx="460">
                  <c:v>728595</c:v>
                </c:pt>
                <c:pt idx="461">
                  <c:v>202950</c:v>
                </c:pt>
                <c:pt idx="462">
                  <c:v>27972</c:v>
                </c:pt>
                <c:pt idx="463">
                  <c:v>35172</c:v>
                </c:pt>
                <c:pt idx="464">
                  <c:v>159570</c:v>
                </c:pt>
                <c:pt idx="465">
                  <c:v>29254.5</c:v>
                </c:pt>
                <c:pt idx="466">
                  <c:v>4338</c:v>
                </c:pt>
                <c:pt idx="467">
                  <c:v>9193.5</c:v>
                </c:pt>
                <c:pt idx="468">
                  <c:v>6885</c:v>
                </c:pt>
                <c:pt idx="469">
                  <c:v>10665</c:v>
                </c:pt>
                <c:pt idx="470">
                  <c:v>201285</c:v>
                </c:pt>
                <c:pt idx="471">
                  <c:v>179550</c:v>
                </c:pt>
                <c:pt idx="472">
                  <c:v>619380</c:v>
                </c:pt>
                <c:pt idx="473">
                  <c:v>4338</c:v>
                </c:pt>
                <c:pt idx="474">
                  <c:v>16789.5</c:v>
                </c:pt>
                <c:pt idx="475">
                  <c:v>215550</c:v>
                </c:pt>
                <c:pt idx="476">
                  <c:v>230310</c:v>
                </c:pt>
                <c:pt idx="477">
                  <c:v>38362.5</c:v>
                </c:pt>
                <c:pt idx="478">
                  <c:v>8653.5</c:v>
                </c:pt>
                <c:pt idx="479">
                  <c:v>884205</c:v>
                </c:pt>
                <c:pt idx="480">
                  <c:v>116640</c:v>
                </c:pt>
                <c:pt idx="481">
                  <c:v>619380</c:v>
                </c:pt>
                <c:pt idx="482">
                  <c:v>29254.5</c:v>
                </c:pt>
                <c:pt idx="483">
                  <c:v>284512.5</c:v>
                </c:pt>
                <c:pt idx="484">
                  <c:v>589050</c:v>
                </c:pt>
                <c:pt idx="485">
                  <c:v>65137.5</c:v>
                </c:pt>
                <c:pt idx="486">
                  <c:v>705600</c:v>
                </c:pt>
                <c:pt idx="487">
                  <c:v>808110</c:v>
                </c:pt>
                <c:pt idx="488">
                  <c:v>38021.399999999994</c:v>
                </c:pt>
                <c:pt idx="489">
                  <c:v>36702</c:v>
                </c:pt>
                <c:pt idx="490">
                  <c:v>27799.200000000001</c:v>
                </c:pt>
                <c:pt idx="491">
                  <c:v>222705</c:v>
                </c:pt>
                <c:pt idx="492">
                  <c:v>27972</c:v>
                </c:pt>
                <c:pt idx="493">
                  <c:v>230310</c:v>
                </c:pt>
                <c:pt idx="494">
                  <c:v>12794.64</c:v>
                </c:pt>
                <c:pt idx="495">
                  <c:v>15774.36</c:v>
                </c:pt>
                <c:pt idx="496">
                  <c:v>12794.64</c:v>
                </c:pt>
                <c:pt idx="497">
                  <c:v>5126.3999999999996</c:v>
                </c:pt>
                <c:pt idx="498">
                  <c:v>5040.96</c:v>
                </c:pt>
                <c:pt idx="499">
                  <c:v>9837.17</c:v>
                </c:pt>
                <c:pt idx="500">
                  <c:v>10733.4</c:v>
                </c:pt>
                <c:pt idx="501">
                  <c:v>42713.324999999997</c:v>
                </c:pt>
                <c:pt idx="502">
                  <c:v>5040.96</c:v>
                </c:pt>
                <c:pt idx="503">
                  <c:v>20687.16</c:v>
                </c:pt>
                <c:pt idx="504">
                  <c:v>246708</c:v>
                </c:pt>
                <c:pt idx="505">
                  <c:v>750537</c:v>
                </c:pt>
                <c:pt idx="506">
                  <c:v>271561.25</c:v>
                </c:pt>
                <c:pt idx="507">
                  <c:v>20826</c:v>
                </c:pt>
                <c:pt idx="508">
                  <c:v>16858.38</c:v>
                </c:pt>
                <c:pt idx="509">
                  <c:v>238609</c:v>
                </c:pt>
                <c:pt idx="510">
                  <c:v>53257.599999999999</c:v>
                </c:pt>
                <c:pt idx="511">
                  <c:v>28795.95</c:v>
                </c:pt>
                <c:pt idx="512">
                  <c:v>233091</c:v>
                </c:pt>
                <c:pt idx="513">
                  <c:v>19971.599999999999</c:v>
                </c:pt>
                <c:pt idx="514">
                  <c:v>655551.75</c:v>
                </c:pt>
                <c:pt idx="515">
                  <c:v>42997.68</c:v>
                </c:pt>
                <c:pt idx="516">
                  <c:v>25904.340000000004</c:v>
                </c:pt>
                <c:pt idx="517">
                  <c:v>42613.2</c:v>
                </c:pt>
                <c:pt idx="518">
                  <c:v>26486.400000000001</c:v>
                </c:pt>
                <c:pt idx="519">
                  <c:v>271561.25</c:v>
                </c:pt>
                <c:pt idx="520">
                  <c:v>53257.599999999999</c:v>
                </c:pt>
                <c:pt idx="521">
                  <c:v>364722</c:v>
                </c:pt>
                <c:pt idx="522">
                  <c:v>49929</c:v>
                </c:pt>
                <c:pt idx="523">
                  <c:v>8744.25</c:v>
                </c:pt>
                <c:pt idx="524">
                  <c:v>107156</c:v>
                </c:pt>
                <c:pt idx="525">
                  <c:v>11263.84</c:v>
                </c:pt>
                <c:pt idx="526">
                  <c:v>18519.12</c:v>
                </c:pt>
                <c:pt idx="527">
                  <c:v>61632.5</c:v>
                </c:pt>
                <c:pt idx="528">
                  <c:v>52243</c:v>
                </c:pt>
                <c:pt idx="529">
                  <c:v>352106.25</c:v>
                </c:pt>
                <c:pt idx="530">
                  <c:v>46796.2</c:v>
                </c:pt>
                <c:pt idx="531">
                  <c:v>159421.25</c:v>
                </c:pt>
                <c:pt idx="532">
                  <c:v>105353.75</c:v>
                </c:pt>
                <c:pt idx="533">
                  <c:v>107156</c:v>
                </c:pt>
                <c:pt idx="534">
                  <c:v>28795.95</c:v>
                </c:pt>
                <c:pt idx="535">
                  <c:v>2367.4</c:v>
                </c:pt>
                <c:pt idx="536">
                  <c:v>272888</c:v>
                </c:pt>
                <c:pt idx="537">
                  <c:v>265760</c:v>
                </c:pt>
                <c:pt idx="538">
                  <c:v>237160</c:v>
                </c:pt>
                <c:pt idx="539">
                  <c:v>35494.800000000003</c:v>
                </c:pt>
                <c:pt idx="540">
                  <c:v>8936.4</c:v>
                </c:pt>
                <c:pt idx="541">
                  <c:v>468072</c:v>
                </c:pt>
                <c:pt idx="542">
                  <c:v>14907.2</c:v>
                </c:pt>
                <c:pt idx="543">
                  <c:v>16841.439999999999</c:v>
                </c:pt>
                <c:pt idx="544">
                  <c:v>30184</c:v>
                </c:pt>
                <c:pt idx="545">
                  <c:v>313104</c:v>
                </c:pt>
                <c:pt idx="546">
                  <c:v>922680</c:v>
                </c:pt>
                <c:pt idx="547">
                  <c:v>272888</c:v>
                </c:pt>
                <c:pt idx="548">
                  <c:v>237160</c:v>
                </c:pt>
                <c:pt idx="549">
                  <c:v>15928</c:v>
                </c:pt>
                <c:pt idx="550">
                  <c:v>30184</c:v>
                </c:pt>
                <c:pt idx="551">
                  <c:v>490952</c:v>
                </c:pt>
                <c:pt idx="552">
                  <c:v>358776</c:v>
                </c:pt>
                <c:pt idx="553">
                  <c:v>567600</c:v>
                </c:pt>
                <c:pt idx="554">
                  <c:v>368676</c:v>
                </c:pt>
                <c:pt idx="555">
                  <c:v>5016</c:v>
                </c:pt>
                <c:pt idx="556">
                  <c:v>21700.799999999999</c:v>
                </c:pt>
                <c:pt idx="557">
                  <c:v>429660</c:v>
                </c:pt>
                <c:pt idx="558">
                  <c:v>303688</c:v>
                </c:pt>
                <c:pt idx="559">
                  <c:v>15928</c:v>
                </c:pt>
                <c:pt idx="560">
                  <c:v>22271.040000000001</c:v>
                </c:pt>
                <c:pt idx="561">
                  <c:v>51143.399999999994</c:v>
                </c:pt>
                <c:pt idx="562">
                  <c:v>191884</c:v>
                </c:pt>
                <c:pt idx="563">
                  <c:v>303688</c:v>
                </c:pt>
                <c:pt idx="564">
                  <c:v>262570</c:v>
                </c:pt>
                <c:pt idx="565">
                  <c:v>21700.799999999999</c:v>
                </c:pt>
                <c:pt idx="566">
                  <c:v>83160</c:v>
                </c:pt>
                <c:pt idx="567">
                  <c:v>21076.44</c:v>
                </c:pt>
                <c:pt idx="568">
                  <c:v>16841.439999999999</c:v>
                </c:pt>
                <c:pt idx="569">
                  <c:v>33633.599999999999</c:v>
                </c:pt>
                <c:pt idx="570">
                  <c:v>44378.399999999994</c:v>
                </c:pt>
                <c:pt idx="571">
                  <c:v>28100.16</c:v>
                </c:pt>
                <c:pt idx="572">
                  <c:v>26945.599999999999</c:v>
                </c:pt>
                <c:pt idx="573">
                  <c:v>9184.56</c:v>
                </c:pt>
                <c:pt idx="574">
                  <c:v>26945.599999999999</c:v>
                </c:pt>
                <c:pt idx="575">
                  <c:v>29156.16</c:v>
                </c:pt>
                <c:pt idx="576">
                  <c:v>33499.35</c:v>
                </c:pt>
                <c:pt idx="577">
                  <c:v>33499.35</c:v>
                </c:pt>
                <c:pt idx="578">
                  <c:v>281053.5</c:v>
                </c:pt>
                <c:pt idx="579">
                  <c:v>545055</c:v>
                </c:pt>
                <c:pt idx="580">
                  <c:v>7690.8</c:v>
                </c:pt>
                <c:pt idx="581">
                  <c:v>299171.25</c:v>
                </c:pt>
                <c:pt idx="582">
                  <c:v>7904.82</c:v>
                </c:pt>
                <c:pt idx="583">
                  <c:v>6305.76</c:v>
                </c:pt>
                <c:pt idx="584">
                  <c:v>39237</c:v>
                </c:pt>
                <c:pt idx="585">
                  <c:v>21732.6</c:v>
                </c:pt>
                <c:pt idx="586">
                  <c:v>8760.4650000000001</c:v>
                </c:pt>
                <c:pt idx="587">
                  <c:v>210627</c:v>
                </c:pt>
                <c:pt idx="588">
                  <c:v>45953.4</c:v>
                </c:pt>
                <c:pt idx="589">
                  <c:v>47119.199999999997</c:v>
                </c:pt>
                <c:pt idx="590">
                  <c:v>801444</c:v>
                </c:pt>
                <c:pt idx="591">
                  <c:v>172151.25</c:v>
                </c:pt>
                <c:pt idx="592">
                  <c:v>5961.24</c:v>
                </c:pt>
                <c:pt idx="593">
                  <c:v>16418.64</c:v>
                </c:pt>
                <c:pt idx="594">
                  <c:v>20423.25</c:v>
                </c:pt>
                <c:pt idx="595">
                  <c:v>21732.6</c:v>
                </c:pt>
                <c:pt idx="596">
                  <c:v>108706.5</c:v>
                </c:pt>
                <c:pt idx="597">
                  <c:v>10575.72</c:v>
                </c:pt>
                <c:pt idx="598">
                  <c:v>52167.375</c:v>
                </c:pt>
                <c:pt idx="599">
                  <c:v>801444</c:v>
                </c:pt>
                <c:pt idx="600">
                  <c:v>7247.1</c:v>
                </c:pt>
                <c:pt idx="601">
                  <c:v>6305.76</c:v>
                </c:pt>
                <c:pt idx="602">
                  <c:v>8613</c:v>
                </c:pt>
                <c:pt idx="603">
                  <c:v>4280.3999999999996</c:v>
                </c:pt>
                <c:pt idx="604">
                  <c:v>679905</c:v>
                </c:pt>
                <c:pt idx="605">
                  <c:v>10575.72</c:v>
                </c:pt>
                <c:pt idx="606">
                  <c:v>172151.25</c:v>
                </c:pt>
                <c:pt idx="607">
                  <c:v>20423.25</c:v>
                </c:pt>
                <c:pt idx="608">
                  <c:v>180416.25</c:v>
                </c:pt>
                <c:pt idx="609">
                  <c:v>7247.1</c:v>
                </c:pt>
                <c:pt idx="610">
                  <c:v>4280.3999999999996</c:v>
                </c:pt>
                <c:pt idx="611">
                  <c:v>18478.8</c:v>
                </c:pt>
                <c:pt idx="612">
                  <c:v>44358.8</c:v>
                </c:pt>
                <c:pt idx="613">
                  <c:v>29979.599999999999</c:v>
                </c:pt>
                <c:pt idx="614">
                  <c:v>18035.919999999998</c:v>
                </c:pt>
                <c:pt idx="615">
                  <c:v>1685.6</c:v>
                </c:pt>
                <c:pt idx="616">
                  <c:v>1763.8600000000001</c:v>
                </c:pt>
                <c:pt idx="617">
                  <c:v>18035.919999999998</c:v>
                </c:pt>
                <c:pt idx="618">
                  <c:v>3586.2</c:v>
                </c:pt>
                <c:pt idx="619">
                  <c:v>41761.599999999999</c:v>
                </c:pt>
                <c:pt idx="620">
                  <c:v>22794.3</c:v>
                </c:pt>
                <c:pt idx="621">
                  <c:v>14375.76</c:v>
                </c:pt>
                <c:pt idx="622">
                  <c:v>1685.6</c:v>
                </c:pt>
                <c:pt idx="623">
                  <c:v>14375.76</c:v>
                </c:pt>
                <c:pt idx="624">
                  <c:v>20794.8</c:v>
                </c:pt>
                <c:pt idx="625">
                  <c:v>206658</c:v>
                </c:pt>
                <c:pt idx="626">
                  <c:v>109972.5</c:v>
                </c:pt>
                <c:pt idx="627">
                  <c:v>385968</c:v>
                </c:pt>
                <c:pt idx="628">
                  <c:v>260580</c:v>
                </c:pt>
                <c:pt idx="629">
                  <c:v>19517.7</c:v>
                </c:pt>
                <c:pt idx="630">
                  <c:v>29670</c:v>
                </c:pt>
                <c:pt idx="631">
                  <c:v>303257.5</c:v>
                </c:pt>
                <c:pt idx="632">
                  <c:v>670477.5</c:v>
                </c:pt>
                <c:pt idx="633">
                  <c:v>360899</c:v>
                </c:pt>
                <c:pt idx="634">
                  <c:v>60200</c:v>
                </c:pt>
                <c:pt idx="635">
                  <c:v>2335.7600000000002</c:v>
                </c:pt>
                <c:pt idx="636">
                  <c:v>10396.540000000001</c:v>
                </c:pt>
                <c:pt idx="637">
                  <c:v>29670</c:v>
                </c:pt>
                <c:pt idx="638">
                  <c:v>4472</c:v>
                </c:pt>
                <c:pt idx="639">
                  <c:v>31863</c:v>
                </c:pt>
                <c:pt idx="640">
                  <c:v>22484.7</c:v>
                </c:pt>
                <c:pt idx="641">
                  <c:v>30072.48</c:v>
                </c:pt>
                <c:pt idx="642">
                  <c:v>10420.619999999999</c:v>
                </c:pt>
                <c:pt idx="643">
                  <c:v>210700</c:v>
                </c:pt>
                <c:pt idx="644">
                  <c:v>22931.040000000001</c:v>
                </c:pt>
                <c:pt idx="645">
                  <c:v>354277</c:v>
                </c:pt>
                <c:pt idx="646">
                  <c:v>578522</c:v>
                </c:pt>
                <c:pt idx="647">
                  <c:v>169312.5</c:v>
                </c:pt>
                <c:pt idx="648">
                  <c:v>10423.200000000001</c:v>
                </c:pt>
                <c:pt idx="649">
                  <c:v>634680</c:v>
                </c:pt>
                <c:pt idx="650">
                  <c:v>69402</c:v>
                </c:pt>
                <c:pt idx="651">
                  <c:v>654288</c:v>
                </c:pt>
                <c:pt idx="652">
                  <c:v>17476.060000000001</c:v>
                </c:pt>
                <c:pt idx="653">
                  <c:v>655578</c:v>
                </c:pt>
                <c:pt idx="654">
                  <c:v>69402</c:v>
                </c:pt>
                <c:pt idx="655">
                  <c:v>385968</c:v>
                </c:pt>
                <c:pt idx="656">
                  <c:v>260580</c:v>
                </c:pt>
                <c:pt idx="657">
                  <c:v>385581</c:v>
                </c:pt>
                <c:pt idx="658">
                  <c:v>229104</c:v>
                </c:pt>
                <c:pt idx="659">
                  <c:v>305730</c:v>
                </c:pt>
                <c:pt idx="660">
                  <c:v>25542</c:v>
                </c:pt>
                <c:pt idx="661">
                  <c:v>22484.7</c:v>
                </c:pt>
                <c:pt idx="662">
                  <c:v>30072.48</c:v>
                </c:pt>
                <c:pt idx="663">
                  <c:v>10420.619999999999</c:v>
                </c:pt>
                <c:pt idx="664">
                  <c:v>10396.540000000001</c:v>
                </c:pt>
                <c:pt idx="665">
                  <c:v>24123</c:v>
                </c:pt>
                <c:pt idx="666">
                  <c:v>124737.5</c:v>
                </c:pt>
                <c:pt idx="667">
                  <c:v>293993.75</c:v>
                </c:pt>
                <c:pt idx="668">
                  <c:v>115281.25</c:v>
                </c:pt>
                <c:pt idx="669">
                  <c:v>139230</c:v>
                </c:pt>
                <c:pt idx="670">
                  <c:v>19686</c:v>
                </c:pt>
                <c:pt idx="671">
                  <c:v>20578.5</c:v>
                </c:pt>
                <c:pt idx="672">
                  <c:v>15083.25</c:v>
                </c:pt>
                <c:pt idx="673">
                  <c:v>848172.5</c:v>
                </c:pt>
                <c:pt idx="674">
                  <c:v>32627.25</c:v>
                </c:pt>
                <c:pt idx="675">
                  <c:v>4539</c:v>
                </c:pt>
                <c:pt idx="676">
                  <c:v>115281.25</c:v>
                </c:pt>
                <c:pt idx="677">
                  <c:v>14981.25</c:v>
                </c:pt>
                <c:pt idx="678">
                  <c:v>597082.5</c:v>
                </c:pt>
                <c:pt idx="679">
                  <c:v>639922.5</c:v>
                </c:pt>
                <c:pt idx="680">
                  <c:v>9322.7999999999993</c:v>
                </c:pt>
                <c:pt idx="681">
                  <c:v>4981</c:v>
                </c:pt>
                <c:pt idx="682">
                  <c:v>5100</c:v>
                </c:pt>
                <c:pt idx="683">
                  <c:v>36031.5</c:v>
                </c:pt>
                <c:pt idx="684">
                  <c:v>70443.75</c:v>
                </c:pt>
                <c:pt idx="685">
                  <c:v>656370</c:v>
                </c:pt>
                <c:pt idx="686">
                  <c:v>259037.5</c:v>
                </c:pt>
                <c:pt idx="687">
                  <c:v>9322.7999999999993</c:v>
                </c:pt>
                <c:pt idx="688">
                  <c:v>14713.5</c:v>
                </c:pt>
                <c:pt idx="689">
                  <c:v>6273</c:v>
                </c:pt>
                <c:pt idx="690">
                  <c:v>4539</c:v>
                </c:pt>
                <c:pt idx="691">
                  <c:v>14981.25</c:v>
                </c:pt>
                <c:pt idx="692">
                  <c:v>313862.5</c:v>
                </c:pt>
                <c:pt idx="693">
                  <c:v>58650</c:v>
                </c:pt>
                <c:pt idx="694">
                  <c:v>4981</c:v>
                </c:pt>
                <c:pt idx="695">
                  <c:v>631125</c:v>
                </c:pt>
                <c:pt idx="696">
                  <c:v>139230</c:v>
                </c:pt>
                <c:pt idx="697">
                  <c:v>8139.6</c:v>
                </c:pt>
                <c:pt idx="698">
                  <c:v>4301.8500000000004</c:v>
                </c:pt>
                <c:pt idx="699">
                  <c:v>18421.2</c:v>
                </c:pt>
              </c:numCache>
            </c:numRef>
          </c:xVal>
          <c:yVal>
            <c:numRef>
              <c:f>'Sactter plot data'!$C$2:$C$701</c:f>
              <c:numCache>
                <c:formatCode>_("$"* #,##0.00_);_("$"* \(#,##0.00\);_("$"* "-"??_);_(@_)</c:formatCode>
                <c:ptCount val="700"/>
                <c:pt idx="0">
                  <c:v>16185</c:v>
                </c:pt>
                <c:pt idx="1">
                  <c:v>13210</c:v>
                </c:pt>
                <c:pt idx="2">
                  <c:v>10890</c:v>
                </c:pt>
                <c:pt idx="3">
                  <c:v>4440</c:v>
                </c:pt>
                <c:pt idx="4">
                  <c:v>12350</c:v>
                </c:pt>
                <c:pt idx="5">
                  <c:v>136170</c:v>
                </c:pt>
                <c:pt idx="6">
                  <c:v>4605</c:v>
                </c:pt>
                <c:pt idx="7">
                  <c:v>22662</c:v>
                </c:pt>
                <c:pt idx="8">
                  <c:v>18990</c:v>
                </c:pt>
                <c:pt idx="9">
                  <c:v>13905</c:v>
                </c:pt>
                <c:pt idx="10">
                  <c:v>12350</c:v>
                </c:pt>
                <c:pt idx="11">
                  <c:v>13327.5</c:v>
                </c:pt>
                <c:pt idx="12">
                  <c:v>47900</c:v>
                </c:pt>
                <c:pt idx="13">
                  <c:v>4292</c:v>
                </c:pt>
                <c:pt idx="14">
                  <c:v>1725</c:v>
                </c:pt>
                <c:pt idx="15">
                  <c:v>3075</c:v>
                </c:pt>
                <c:pt idx="16">
                  <c:v>2920</c:v>
                </c:pt>
                <c:pt idx="17">
                  <c:v>4870</c:v>
                </c:pt>
                <c:pt idx="18">
                  <c:v>22662</c:v>
                </c:pt>
                <c:pt idx="19">
                  <c:v>90540</c:v>
                </c:pt>
                <c:pt idx="20">
                  <c:v>3303</c:v>
                </c:pt>
                <c:pt idx="21">
                  <c:v>1766</c:v>
                </c:pt>
                <c:pt idx="22">
                  <c:v>2745</c:v>
                </c:pt>
                <c:pt idx="23">
                  <c:v>39400</c:v>
                </c:pt>
                <c:pt idx="24">
                  <c:v>12360</c:v>
                </c:pt>
                <c:pt idx="25">
                  <c:v>2286</c:v>
                </c:pt>
                <c:pt idx="26">
                  <c:v>155250</c:v>
                </c:pt>
                <c:pt idx="27">
                  <c:v>8208</c:v>
                </c:pt>
                <c:pt idx="28">
                  <c:v>10760</c:v>
                </c:pt>
                <c:pt idx="29">
                  <c:v>18170</c:v>
                </c:pt>
                <c:pt idx="30">
                  <c:v>136170</c:v>
                </c:pt>
                <c:pt idx="31">
                  <c:v>2986</c:v>
                </c:pt>
                <c:pt idx="32">
                  <c:v>9020</c:v>
                </c:pt>
                <c:pt idx="33">
                  <c:v>19449</c:v>
                </c:pt>
                <c:pt idx="34">
                  <c:v>90540</c:v>
                </c:pt>
                <c:pt idx="35">
                  <c:v>13905</c:v>
                </c:pt>
                <c:pt idx="36">
                  <c:v>14105</c:v>
                </c:pt>
                <c:pt idx="37">
                  <c:v>1725</c:v>
                </c:pt>
                <c:pt idx="38">
                  <c:v>100050</c:v>
                </c:pt>
                <c:pt idx="39">
                  <c:v>25542</c:v>
                </c:pt>
                <c:pt idx="40">
                  <c:v>10890</c:v>
                </c:pt>
                <c:pt idx="41">
                  <c:v>4440</c:v>
                </c:pt>
                <c:pt idx="42">
                  <c:v>137430</c:v>
                </c:pt>
                <c:pt idx="43">
                  <c:v>107550</c:v>
                </c:pt>
                <c:pt idx="44">
                  <c:v>18170</c:v>
                </c:pt>
                <c:pt idx="45">
                  <c:v>247500</c:v>
                </c:pt>
                <c:pt idx="46">
                  <c:v>17577</c:v>
                </c:pt>
                <c:pt idx="47">
                  <c:v>21097.5</c:v>
                </c:pt>
                <c:pt idx="48">
                  <c:v>18990</c:v>
                </c:pt>
                <c:pt idx="49">
                  <c:v>3372</c:v>
                </c:pt>
                <c:pt idx="50">
                  <c:v>19269</c:v>
                </c:pt>
                <c:pt idx="51">
                  <c:v>2286</c:v>
                </c:pt>
                <c:pt idx="52">
                  <c:v>3075</c:v>
                </c:pt>
                <c:pt idx="53">
                  <c:v>7613.8500000000022</c:v>
                </c:pt>
                <c:pt idx="54">
                  <c:v>11135.599999999999</c:v>
                </c:pt>
                <c:pt idx="55">
                  <c:v>1987.8999999999996</c:v>
                </c:pt>
                <c:pt idx="56">
                  <c:v>1233.2700000000004</c:v>
                </c:pt>
                <c:pt idx="57">
                  <c:v>2559.1800000000003</c:v>
                </c:pt>
                <c:pt idx="58">
                  <c:v>16499.04</c:v>
                </c:pt>
                <c:pt idx="59">
                  <c:v>104665</c:v>
                </c:pt>
                <c:pt idx="60">
                  <c:v>4880.9699999999993</c:v>
                </c:pt>
                <c:pt idx="61">
                  <c:v>12831.599999999999</c:v>
                </c:pt>
                <c:pt idx="62">
                  <c:v>1237.5</c:v>
                </c:pt>
                <c:pt idx="63">
                  <c:v>23718.48</c:v>
                </c:pt>
                <c:pt idx="64">
                  <c:v>6802.08</c:v>
                </c:pt>
                <c:pt idx="65">
                  <c:v>23218</c:v>
                </c:pt>
                <c:pt idx="66">
                  <c:v>120840.5</c:v>
                </c:pt>
                <c:pt idx="67">
                  <c:v>186407.5</c:v>
                </c:pt>
                <c:pt idx="68">
                  <c:v>10737.900000000001</c:v>
                </c:pt>
                <c:pt idx="69">
                  <c:v>108147</c:v>
                </c:pt>
                <c:pt idx="70">
                  <c:v>13479.899999999998</c:v>
                </c:pt>
                <c:pt idx="71">
                  <c:v>3531.8999999999996</c:v>
                </c:pt>
                <c:pt idx="72">
                  <c:v>117406</c:v>
                </c:pt>
                <c:pt idx="73">
                  <c:v>2486.25</c:v>
                </c:pt>
                <c:pt idx="74">
                  <c:v>7342.9000000000015</c:v>
                </c:pt>
                <c:pt idx="75">
                  <c:v>8670.5249999999978</c:v>
                </c:pt>
                <c:pt idx="76">
                  <c:v>2726.25</c:v>
                </c:pt>
                <c:pt idx="77">
                  <c:v>2951.25</c:v>
                </c:pt>
                <c:pt idx="78">
                  <c:v>6836.25</c:v>
                </c:pt>
                <c:pt idx="79">
                  <c:v>3622.9500000000007</c:v>
                </c:pt>
                <c:pt idx="80">
                  <c:v>6802.08</c:v>
                </c:pt>
                <c:pt idx="81">
                  <c:v>136535</c:v>
                </c:pt>
                <c:pt idx="82">
                  <c:v>186407.5</c:v>
                </c:pt>
                <c:pt idx="83">
                  <c:v>37867.200000000004</c:v>
                </c:pt>
                <c:pt idx="84">
                  <c:v>698.65999999999985</c:v>
                </c:pt>
                <c:pt idx="85">
                  <c:v>3461.25</c:v>
                </c:pt>
                <c:pt idx="86">
                  <c:v>2486.25</c:v>
                </c:pt>
                <c:pt idx="87">
                  <c:v>4037.5599999999995</c:v>
                </c:pt>
                <c:pt idx="88">
                  <c:v>507.58999999999992</c:v>
                </c:pt>
                <c:pt idx="89">
                  <c:v>81612.75</c:v>
                </c:pt>
                <c:pt idx="90">
                  <c:v>2726.25</c:v>
                </c:pt>
                <c:pt idx="91">
                  <c:v>2951.25</c:v>
                </c:pt>
                <c:pt idx="92">
                  <c:v>46342</c:v>
                </c:pt>
                <c:pt idx="93">
                  <c:v>23218</c:v>
                </c:pt>
                <c:pt idx="94">
                  <c:v>120840.5</c:v>
                </c:pt>
                <c:pt idx="95">
                  <c:v>6540</c:v>
                </c:pt>
                <c:pt idx="96">
                  <c:v>17662.32</c:v>
                </c:pt>
                <c:pt idx="97">
                  <c:v>1556.8500000000004</c:v>
                </c:pt>
                <c:pt idx="98">
                  <c:v>1856.25</c:v>
                </c:pt>
                <c:pt idx="99">
                  <c:v>11344.2</c:v>
                </c:pt>
                <c:pt idx="100">
                  <c:v>9416</c:v>
                </c:pt>
                <c:pt idx="101">
                  <c:v>3989.7000000000007</c:v>
                </c:pt>
                <c:pt idx="102">
                  <c:v>236716</c:v>
                </c:pt>
                <c:pt idx="103">
                  <c:v>10003.92</c:v>
                </c:pt>
                <c:pt idx="104">
                  <c:v>15033.599999999999</c:v>
                </c:pt>
                <c:pt idx="105">
                  <c:v>6044.4</c:v>
                </c:pt>
                <c:pt idx="106">
                  <c:v>4150</c:v>
                </c:pt>
                <c:pt idx="107">
                  <c:v>11106.099999999999</c:v>
                </c:pt>
                <c:pt idx="108">
                  <c:v>40392</c:v>
                </c:pt>
                <c:pt idx="109">
                  <c:v>76032</c:v>
                </c:pt>
                <c:pt idx="110">
                  <c:v>10003.92</c:v>
                </c:pt>
                <c:pt idx="111">
                  <c:v>1655</c:v>
                </c:pt>
                <c:pt idx="112">
                  <c:v>11344.2</c:v>
                </c:pt>
                <c:pt idx="113">
                  <c:v>2022.5</c:v>
                </c:pt>
                <c:pt idx="114">
                  <c:v>5362.5</c:v>
                </c:pt>
                <c:pt idx="115">
                  <c:v>15636.599999999999</c:v>
                </c:pt>
                <c:pt idx="116">
                  <c:v>84304</c:v>
                </c:pt>
                <c:pt idx="117">
                  <c:v>236716</c:v>
                </c:pt>
                <c:pt idx="118">
                  <c:v>6822.5</c:v>
                </c:pt>
                <c:pt idx="119">
                  <c:v>9047.5</c:v>
                </c:pt>
                <c:pt idx="120">
                  <c:v>3744.1800000000003</c:v>
                </c:pt>
                <c:pt idx="121">
                  <c:v>9241.7999999999993</c:v>
                </c:pt>
                <c:pt idx="122">
                  <c:v>9495.84</c:v>
                </c:pt>
                <c:pt idx="123">
                  <c:v>15033.599999999999</c:v>
                </c:pt>
                <c:pt idx="124">
                  <c:v>246178</c:v>
                </c:pt>
                <c:pt idx="125">
                  <c:v>238791</c:v>
                </c:pt>
                <c:pt idx="126">
                  <c:v>2022.5</c:v>
                </c:pt>
                <c:pt idx="127">
                  <c:v>5362.5</c:v>
                </c:pt>
                <c:pt idx="128">
                  <c:v>9241.7999999999993</c:v>
                </c:pt>
                <c:pt idx="129">
                  <c:v>5222.3999999999996</c:v>
                </c:pt>
                <c:pt idx="130">
                  <c:v>9495.84</c:v>
                </c:pt>
                <c:pt idx="131">
                  <c:v>1655</c:v>
                </c:pt>
                <c:pt idx="132">
                  <c:v>9416</c:v>
                </c:pt>
                <c:pt idx="133">
                  <c:v>238791</c:v>
                </c:pt>
                <c:pt idx="134">
                  <c:v>6822.5</c:v>
                </c:pt>
                <c:pt idx="135">
                  <c:v>22078</c:v>
                </c:pt>
                <c:pt idx="136">
                  <c:v>161020</c:v>
                </c:pt>
                <c:pt idx="137">
                  <c:v>11396</c:v>
                </c:pt>
                <c:pt idx="138">
                  <c:v>48444</c:v>
                </c:pt>
                <c:pt idx="139">
                  <c:v>5690</c:v>
                </c:pt>
                <c:pt idx="140">
                  <c:v>246178</c:v>
                </c:pt>
                <c:pt idx="141">
                  <c:v>11865.599999999999</c:v>
                </c:pt>
                <c:pt idx="142">
                  <c:v>9033.5999999999985</c:v>
                </c:pt>
                <c:pt idx="143">
                  <c:v>84304</c:v>
                </c:pt>
                <c:pt idx="144">
                  <c:v>5304.375</c:v>
                </c:pt>
                <c:pt idx="145">
                  <c:v>24252</c:v>
                </c:pt>
                <c:pt idx="146">
                  <c:v>28249</c:v>
                </c:pt>
                <c:pt idx="147">
                  <c:v>16822.080000000002</c:v>
                </c:pt>
                <c:pt idx="148">
                  <c:v>7845.1200000000008</c:v>
                </c:pt>
                <c:pt idx="149">
                  <c:v>3504.8199999999997</c:v>
                </c:pt>
                <c:pt idx="150">
                  <c:v>16424.64</c:v>
                </c:pt>
                <c:pt idx="151">
                  <c:v>973.76000000000022</c:v>
                </c:pt>
                <c:pt idx="152">
                  <c:v>142861.5</c:v>
                </c:pt>
                <c:pt idx="153">
                  <c:v>1608.75</c:v>
                </c:pt>
                <c:pt idx="154">
                  <c:v>2132.5</c:v>
                </c:pt>
                <c:pt idx="155">
                  <c:v>99814.5</c:v>
                </c:pt>
                <c:pt idx="156">
                  <c:v>2217.5</c:v>
                </c:pt>
                <c:pt idx="157">
                  <c:v>16424.64</c:v>
                </c:pt>
                <c:pt idx="158">
                  <c:v>28249</c:v>
                </c:pt>
                <c:pt idx="159">
                  <c:v>1962.5</c:v>
                </c:pt>
                <c:pt idx="160">
                  <c:v>11832.48</c:v>
                </c:pt>
                <c:pt idx="161">
                  <c:v>2511.25</c:v>
                </c:pt>
                <c:pt idx="162">
                  <c:v>8849.75</c:v>
                </c:pt>
                <c:pt idx="163">
                  <c:v>1608.75</c:v>
                </c:pt>
                <c:pt idx="164">
                  <c:v>2132.5</c:v>
                </c:pt>
                <c:pt idx="165">
                  <c:v>2511.25</c:v>
                </c:pt>
                <c:pt idx="166">
                  <c:v>116604</c:v>
                </c:pt>
                <c:pt idx="167">
                  <c:v>16554.240000000002</c:v>
                </c:pt>
                <c:pt idx="168">
                  <c:v>1962.5</c:v>
                </c:pt>
                <c:pt idx="169">
                  <c:v>76834</c:v>
                </c:pt>
                <c:pt idx="170">
                  <c:v>130539</c:v>
                </c:pt>
                <c:pt idx="171">
                  <c:v>8849.75</c:v>
                </c:pt>
                <c:pt idx="172">
                  <c:v>7811.4</c:v>
                </c:pt>
                <c:pt idx="173">
                  <c:v>3150.3999999999996</c:v>
                </c:pt>
                <c:pt idx="174">
                  <c:v>36194.700000000004</c:v>
                </c:pt>
                <c:pt idx="175">
                  <c:v>21418.560000000001</c:v>
                </c:pt>
                <c:pt idx="176">
                  <c:v>8936.4000000000015</c:v>
                </c:pt>
                <c:pt idx="177">
                  <c:v>8936.4000000000015</c:v>
                </c:pt>
                <c:pt idx="178">
                  <c:v>9948.4000000000015</c:v>
                </c:pt>
                <c:pt idx="179">
                  <c:v>6771.2000000000007</c:v>
                </c:pt>
                <c:pt idx="180">
                  <c:v>4903.7200000000012</c:v>
                </c:pt>
                <c:pt idx="181">
                  <c:v>76798</c:v>
                </c:pt>
                <c:pt idx="182">
                  <c:v>20824</c:v>
                </c:pt>
                <c:pt idx="183">
                  <c:v>8654.7999999999993</c:v>
                </c:pt>
                <c:pt idx="184">
                  <c:v>70642</c:v>
                </c:pt>
                <c:pt idx="185">
                  <c:v>4903.7200000000012</c:v>
                </c:pt>
                <c:pt idx="186">
                  <c:v>76798</c:v>
                </c:pt>
                <c:pt idx="187">
                  <c:v>0</c:v>
                </c:pt>
                <c:pt idx="188">
                  <c:v>7311.7199999999993</c:v>
                </c:pt>
                <c:pt idx="189">
                  <c:v>0</c:v>
                </c:pt>
                <c:pt idx="190">
                  <c:v>53751</c:v>
                </c:pt>
                <c:pt idx="191">
                  <c:v>110884</c:v>
                </c:pt>
                <c:pt idx="192">
                  <c:v>262200</c:v>
                </c:pt>
                <c:pt idx="193">
                  <c:v>0</c:v>
                </c:pt>
                <c:pt idx="194">
                  <c:v>959.19999999999982</c:v>
                </c:pt>
                <c:pt idx="195">
                  <c:v>19080.800000000003</c:v>
                </c:pt>
                <c:pt idx="196">
                  <c:v>9715.2000000000007</c:v>
                </c:pt>
                <c:pt idx="197">
                  <c:v>2952.3999999999996</c:v>
                </c:pt>
                <c:pt idx="198">
                  <c:v>6661.5999999999985</c:v>
                </c:pt>
                <c:pt idx="199">
                  <c:v>20824</c:v>
                </c:pt>
                <c:pt idx="200">
                  <c:v>0</c:v>
                </c:pt>
                <c:pt idx="201">
                  <c:v>12481.8</c:v>
                </c:pt>
                <c:pt idx="202">
                  <c:v>24343.199999999997</c:v>
                </c:pt>
                <c:pt idx="203">
                  <c:v>165452</c:v>
                </c:pt>
                <c:pt idx="204">
                  <c:v>7378.32</c:v>
                </c:pt>
                <c:pt idx="205">
                  <c:v>26524</c:v>
                </c:pt>
                <c:pt idx="206">
                  <c:v>165452</c:v>
                </c:pt>
                <c:pt idx="207">
                  <c:v>6661.5999999999985</c:v>
                </c:pt>
                <c:pt idx="208">
                  <c:v>141740</c:v>
                </c:pt>
                <c:pt idx="209">
                  <c:v>0</c:v>
                </c:pt>
                <c:pt idx="210">
                  <c:v>144932</c:v>
                </c:pt>
                <c:pt idx="211">
                  <c:v>2952.3999999999996</c:v>
                </c:pt>
                <c:pt idx="212">
                  <c:v>135128</c:v>
                </c:pt>
                <c:pt idx="213">
                  <c:v>1912.3500000000004</c:v>
                </c:pt>
                <c:pt idx="214">
                  <c:v>2263.7999999999993</c:v>
                </c:pt>
                <c:pt idx="215">
                  <c:v>3875.8500000000004</c:v>
                </c:pt>
                <c:pt idx="216">
                  <c:v>4436.8499999999985</c:v>
                </c:pt>
                <c:pt idx="217">
                  <c:v>20420.400000000001</c:v>
                </c:pt>
                <c:pt idx="218">
                  <c:v>20420.400000000001</c:v>
                </c:pt>
                <c:pt idx="219">
                  <c:v>4436.8499999999985</c:v>
                </c:pt>
                <c:pt idx="220">
                  <c:v>2776.9500000000007</c:v>
                </c:pt>
                <c:pt idx="221">
                  <c:v>9433.2000000000007</c:v>
                </c:pt>
                <c:pt idx="222">
                  <c:v>1912.3500000000004</c:v>
                </c:pt>
                <c:pt idx="223">
                  <c:v>15666</c:v>
                </c:pt>
                <c:pt idx="224">
                  <c:v>9374.4</c:v>
                </c:pt>
                <c:pt idx="225">
                  <c:v>14067</c:v>
                </c:pt>
                <c:pt idx="226">
                  <c:v>34685</c:v>
                </c:pt>
                <c:pt idx="227">
                  <c:v>1676.3999999999996</c:v>
                </c:pt>
                <c:pt idx="228">
                  <c:v>11861.75</c:v>
                </c:pt>
                <c:pt idx="229">
                  <c:v>940.5</c:v>
                </c:pt>
                <c:pt idx="230">
                  <c:v>4103.5499999999993</c:v>
                </c:pt>
                <c:pt idx="231">
                  <c:v>100376.25</c:v>
                </c:pt>
                <c:pt idx="232">
                  <c:v>-4533.75</c:v>
                </c:pt>
                <c:pt idx="233">
                  <c:v>52200</c:v>
                </c:pt>
                <c:pt idx="234">
                  <c:v>19672.8</c:v>
                </c:pt>
                <c:pt idx="235">
                  <c:v>38500</c:v>
                </c:pt>
                <c:pt idx="236">
                  <c:v>11727</c:v>
                </c:pt>
                <c:pt idx="237">
                  <c:v>-3740</c:v>
                </c:pt>
                <c:pt idx="238">
                  <c:v>-2981.25</c:v>
                </c:pt>
                <c:pt idx="239">
                  <c:v>56245</c:v>
                </c:pt>
                <c:pt idx="240">
                  <c:v>3839.5499999999993</c:v>
                </c:pt>
                <c:pt idx="241">
                  <c:v>34685</c:v>
                </c:pt>
                <c:pt idx="242">
                  <c:v>43645</c:v>
                </c:pt>
                <c:pt idx="243">
                  <c:v>11135</c:v>
                </c:pt>
                <c:pt idx="244">
                  <c:v>89030</c:v>
                </c:pt>
                <c:pt idx="245">
                  <c:v>12501</c:v>
                </c:pt>
                <c:pt idx="246">
                  <c:v>-1076.25</c:v>
                </c:pt>
                <c:pt idx="247">
                  <c:v>-880</c:v>
                </c:pt>
                <c:pt idx="248">
                  <c:v>16218</c:v>
                </c:pt>
                <c:pt idx="249">
                  <c:v>23967</c:v>
                </c:pt>
                <c:pt idx="250">
                  <c:v>3524.3999999999996</c:v>
                </c:pt>
                <c:pt idx="251">
                  <c:v>8993</c:v>
                </c:pt>
                <c:pt idx="252">
                  <c:v>2358.75</c:v>
                </c:pt>
                <c:pt idx="253">
                  <c:v>12159.25</c:v>
                </c:pt>
                <c:pt idx="254">
                  <c:v>-1008.75</c:v>
                </c:pt>
                <c:pt idx="255">
                  <c:v>43645</c:v>
                </c:pt>
                <c:pt idx="256">
                  <c:v>25488</c:v>
                </c:pt>
                <c:pt idx="257">
                  <c:v>14211</c:v>
                </c:pt>
                <c:pt idx="258">
                  <c:v>-1076.25</c:v>
                </c:pt>
                <c:pt idx="259">
                  <c:v>-880</c:v>
                </c:pt>
                <c:pt idx="260">
                  <c:v>9297</c:v>
                </c:pt>
                <c:pt idx="261">
                  <c:v>43750</c:v>
                </c:pt>
                <c:pt idx="262">
                  <c:v>12501</c:v>
                </c:pt>
                <c:pt idx="263">
                  <c:v>11385</c:v>
                </c:pt>
                <c:pt idx="264">
                  <c:v>20673</c:v>
                </c:pt>
                <c:pt idx="265">
                  <c:v>23967</c:v>
                </c:pt>
                <c:pt idx="266">
                  <c:v>940.5</c:v>
                </c:pt>
                <c:pt idx="267">
                  <c:v>4103.5499999999993</c:v>
                </c:pt>
                <c:pt idx="268">
                  <c:v>97875</c:v>
                </c:pt>
                <c:pt idx="269">
                  <c:v>40020</c:v>
                </c:pt>
                <c:pt idx="270">
                  <c:v>89030</c:v>
                </c:pt>
                <c:pt idx="271">
                  <c:v>43750</c:v>
                </c:pt>
                <c:pt idx="272">
                  <c:v>15584.100000000002</c:v>
                </c:pt>
                <c:pt idx="273">
                  <c:v>9834</c:v>
                </c:pt>
                <c:pt idx="274">
                  <c:v>11660.400000000001</c:v>
                </c:pt>
                <c:pt idx="275">
                  <c:v>4653.3599999999997</c:v>
                </c:pt>
                <c:pt idx="276">
                  <c:v>19035.72</c:v>
                </c:pt>
                <c:pt idx="277">
                  <c:v>8323</c:v>
                </c:pt>
                <c:pt idx="278">
                  <c:v>415.53999999999996</c:v>
                </c:pt>
                <c:pt idx="279">
                  <c:v>-2217.5</c:v>
                </c:pt>
                <c:pt idx="280">
                  <c:v>67620</c:v>
                </c:pt>
                <c:pt idx="281">
                  <c:v>100740</c:v>
                </c:pt>
                <c:pt idx="282">
                  <c:v>2216.7399999999998</c:v>
                </c:pt>
                <c:pt idx="283">
                  <c:v>22546.44</c:v>
                </c:pt>
                <c:pt idx="284">
                  <c:v>103224</c:v>
                </c:pt>
                <c:pt idx="285">
                  <c:v>19035.72</c:v>
                </c:pt>
                <c:pt idx="286">
                  <c:v>50163</c:v>
                </c:pt>
                <c:pt idx="287">
                  <c:v>-2380</c:v>
                </c:pt>
                <c:pt idx="288">
                  <c:v>-6887.5</c:v>
                </c:pt>
                <c:pt idx="289">
                  <c:v>6273</c:v>
                </c:pt>
                <c:pt idx="290">
                  <c:v>103224</c:v>
                </c:pt>
                <c:pt idx="291">
                  <c:v>2366.84</c:v>
                </c:pt>
                <c:pt idx="292">
                  <c:v>39072</c:v>
                </c:pt>
                <c:pt idx="293">
                  <c:v>143244</c:v>
                </c:pt>
                <c:pt idx="294">
                  <c:v>11660.400000000001</c:v>
                </c:pt>
                <c:pt idx="295">
                  <c:v>2366.84</c:v>
                </c:pt>
                <c:pt idx="296">
                  <c:v>39072</c:v>
                </c:pt>
                <c:pt idx="297">
                  <c:v>9882.4000000000015</c:v>
                </c:pt>
                <c:pt idx="298">
                  <c:v>77952</c:v>
                </c:pt>
                <c:pt idx="299">
                  <c:v>-4968.75</c:v>
                </c:pt>
                <c:pt idx="300">
                  <c:v>115851</c:v>
                </c:pt>
                <c:pt idx="301">
                  <c:v>50163</c:v>
                </c:pt>
                <c:pt idx="302">
                  <c:v>2216.7399999999998</c:v>
                </c:pt>
                <c:pt idx="303">
                  <c:v>143244</c:v>
                </c:pt>
                <c:pt idx="304">
                  <c:v>15461.599999999999</c:v>
                </c:pt>
                <c:pt idx="305">
                  <c:v>9011.7999999999993</c:v>
                </c:pt>
                <c:pt idx="306">
                  <c:v>7146.2999999999993</c:v>
                </c:pt>
                <c:pt idx="307">
                  <c:v>4727.2999999999993</c:v>
                </c:pt>
                <c:pt idx="308">
                  <c:v>15461.599999999999</c:v>
                </c:pt>
                <c:pt idx="309">
                  <c:v>8808.7999999999993</c:v>
                </c:pt>
                <c:pt idx="310">
                  <c:v>2106.1399999999994</c:v>
                </c:pt>
                <c:pt idx="311">
                  <c:v>4727.2999999999993</c:v>
                </c:pt>
                <c:pt idx="312">
                  <c:v>5932.32</c:v>
                </c:pt>
                <c:pt idx="313">
                  <c:v>15373.439999999999</c:v>
                </c:pt>
                <c:pt idx="314">
                  <c:v>15772.400000000001</c:v>
                </c:pt>
                <c:pt idx="315">
                  <c:v>19094.400000000001</c:v>
                </c:pt>
                <c:pt idx="316">
                  <c:v>19110.72</c:v>
                </c:pt>
                <c:pt idx="317">
                  <c:v>1556.8100000000004</c:v>
                </c:pt>
                <c:pt idx="318">
                  <c:v>4984.9000000000015</c:v>
                </c:pt>
                <c:pt idx="319">
                  <c:v>1713.8500000000004</c:v>
                </c:pt>
                <c:pt idx="320">
                  <c:v>825.97000000000025</c:v>
                </c:pt>
                <c:pt idx="321">
                  <c:v>2388.8199999999997</c:v>
                </c:pt>
                <c:pt idx="322">
                  <c:v>14186.16</c:v>
                </c:pt>
                <c:pt idx="323">
                  <c:v>18074.400000000001</c:v>
                </c:pt>
                <c:pt idx="324">
                  <c:v>2388.8199999999997</c:v>
                </c:pt>
                <c:pt idx="325">
                  <c:v>1713.8500000000004</c:v>
                </c:pt>
                <c:pt idx="326">
                  <c:v>115345.5</c:v>
                </c:pt>
                <c:pt idx="327">
                  <c:v>12992</c:v>
                </c:pt>
                <c:pt idx="328">
                  <c:v>63249</c:v>
                </c:pt>
                <c:pt idx="329">
                  <c:v>16993.599999999999</c:v>
                </c:pt>
                <c:pt idx="330">
                  <c:v>63249</c:v>
                </c:pt>
                <c:pt idx="331">
                  <c:v>-9375</c:v>
                </c:pt>
                <c:pt idx="332">
                  <c:v>49358</c:v>
                </c:pt>
                <c:pt idx="333">
                  <c:v>12992</c:v>
                </c:pt>
                <c:pt idx="334">
                  <c:v>-13173.75</c:v>
                </c:pt>
                <c:pt idx="335">
                  <c:v>8298.9500000000007</c:v>
                </c:pt>
                <c:pt idx="336">
                  <c:v>11577.449999999997</c:v>
                </c:pt>
                <c:pt idx="337">
                  <c:v>13201</c:v>
                </c:pt>
                <c:pt idx="338">
                  <c:v>32567</c:v>
                </c:pt>
                <c:pt idx="339">
                  <c:v>40716</c:v>
                </c:pt>
                <c:pt idx="340">
                  <c:v>22546.080000000002</c:v>
                </c:pt>
                <c:pt idx="341">
                  <c:v>3208.75</c:v>
                </c:pt>
                <c:pt idx="342">
                  <c:v>48111</c:v>
                </c:pt>
                <c:pt idx="343">
                  <c:v>5237.3999999999996</c:v>
                </c:pt>
                <c:pt idx="344">
                  <c:v>-7826.25</c:v>
                </c:pt>
                <c:pt idx="345">
                  <c:v>16993.599999999999</c:v>
                </c:pt>
                <c:pt idx="346">
                  <c:v>12220.599999999999</c:v>
                </c:pt>
                <c:pt idx="347">
                  <c:v>39788</c:v>
                </c:pt>
                <c:pt idx="348">
                  <c:v>5056.7999999999993</c:v>
                </c:pt>
                <c:pt idx="349">
                  <c:v>26475.120000000003</c:v>
                </c:pt>
                <c:pt idx="350">
                  <c:v>27811</c:v>
                </c:pt>
                <c:pt idx="351">
                  <c:v>79663</c:v>
                </c:pt>
                <c:pt idx="352">
                  <c:v>-6168.75</c:v>
                </c:pt>
                <c:pt idx="353">
                  <c:v>188378</c:v>
                </c:pt>
                <c:pt idx="354">
                  <c:v>-3727.5</c:v>
                </c:pt>
                <c:pt idx="355">
                  <c:v>9614.7999999999993</c:v>
                </c:pt>
                <c:pt idx="356">
                  <c:v>39788</c:v>
                </c:pt>
                <c:pt idx="357">
                  <c:v>702.72000000000025</c:v>
                </c:pt>
                <c:pt idx="358">
                  <c:v>10768.8</c:v>
                </c:pt>
                <c:pt idx="359">
                  <c:v>370.07999999999993</c:v>
                </c:pt>
                <c:pt idx="360">
                  <c:v>10768.8</c:v>
                </c:pt>
                <c:pt idx="361">
                  <c:v>-7700</c:v>
                </c:pt>
                <c:pt idx="362">
                  <c:v>1862</c:v>
                </c:pt>
                <c:pt idx="363">
                  <c:v>84444</c:v>
                </c:pt>
                <c:pt idx="364">
                  <c:v>9503.8000000000029</c:v>
                </c:pt>
                <c:pt idx="365">
                  <c:v>5947.2000000000007</c:v>
                </c:pt>
                <c:pt idx="366">
                  <c:v>5418</c:v>
                </c:pt>
                <c:pt idx="367">
                  <c:v>40612</c:v>
                </c:pt>
                <c:pt idx="368">
                  <c:v>33358</c:v>
                </c:pt>
                <c:pt idx="369">
                  <c:v>2701.7999999999993</c:v>
                </c:pt>
                <c:pt idx="370">
                  <c:v>-5570</c:v>
                </c:pt>
                <c:pt idx="371">
                  <c:v>1812.96</c:v>
                </c:pt>
                <c:pt idx="372">
                  <c:v>1576.8000000000002</c:v>
                </c:pt>
                <c:pt idx="373">
                  <c:v>11474.400000000001</c:v>
                </c:pt>
                <c:pt idx="374">
                  <c:v>63960</c:v>
                </c:pt>
                <c:pt idx="375">
                  <c:v>976.31999999999971</c:v>
                </c:pt>
                <c:pt idx="376">
                  <c:v>2301.1200000000008</c:v>
                </c:pt>
                <c:pt idx="377">
                  <c:v>3468.9599999999991</c:v>
                </c:pt>
                <c:pt idx="378">
                  <c:v>16245.599999999999</c:v>
                </c:pt>
                <c:pt idx="379">
                  <c:v>25141.199999999997</c:v>
                </c:pt>
                <c:pt idx="380">
                  <c:v>133052</c:v>
                </c:pt>
                <c:pt idx="381">
                  <c:v>2802.24</c:v>
                </c:pt>
                <c:pt idx="382">
                  <c:v>84444</c:v>
                </c:pt>
                <c:pt idx="383">
                  <c:v>4807.92</c:v>
                </c:pt>
                <c:pt idx="384">
                  <c:v>4186.0800000000017</c:v>
                </c:pt>
                <c:pt idx="385">
                  <c:v>3366.7199999999993</c:v>
                </c:pt>
                <c:pt idx="386">
                  <c:v>10036</c:v>
                </c:pt>
                <c:pt idx="387">
                  <c:v>16510</c:v>
                </c:pt>
                <c:pt idx="388">
                  <c:v>35619</c:v>
                </c:pt>
                <c:pt idx="389">
                  <c:v>3366.7199999999993</c:v>
                </c:pt>
                <c:pt idx="390">
                  <c:v>23622</c:v>
                </c:pt>
                <c:pt idx="391">
                  <c:v>26164</c:v>
                </c:pt>
                <c:pt idx="392">
                  <c:v>55484</c:v>
                </c:pt>
                <c:pt idx="393">
                  <c:v>21008</c:v>
                </c:pt>
                <c:pt idx="394">
                  <c:v>5947.2000000000007</c:v>
                </c:pt>
                <c:pt idx="395">
                  <c:v>4186.0800000000017</c:v>
                </c:pt>
                <c:pt idx="396">
                  <c:v>11474.400000000001</c:v>
                </c:pt>
                <c:pt idx="397">
                  <c:v>63960</c:v>
                </c:pt>
                <c:pt idx="398">
                  <c:v>12768</c:v>
                </c:pt>
                <c:pt idx="399">
                  <c:v>2701.7999999999993</c:v>
                </c:pt>
                <c:pt idx="400">
                  <c:v>11055</c:v>
                </c:pt>
                <c:pt idx="401">
                  <c:v>16510</c:v>
                </c:pt>
                <c:pt idx="402">
                  <c:v>3666.5999999999995</c:v>
                </c:pt>
                <c:pt idx="403">
                  <c:v>25162</c:v>
                </c:pt>
                <c:pt idx="404">
                  <c:v>2906.64</c:v>
                </c:pt>
                <c:pt idx="405">
                  <c:v>87457.5</c:v>
                </c:pt>
                <c:pt idx="406">
                  <c:v>97461</c:v>
                </c:pt>
                <c:pt idx="407">
                  <c:v>7406</c:v>
                </c:pt>
                <c:pt idx="408">
                  <c:v>18382.32</c:v>
                </c:pt>
                <c:pt idx="409">
                  <c:v>-11606.25</c:v>
                </c:pt>
                <c:pt idx="410">
                  <c:v>2207.0699999999997</c:v>
                </c:pt>
                <c:pt idx="411">
                  <c:v>-17481.25</c:v>
                </c:pt>
                <c:pt idx="412">
                  <c:v>7682</c:v>
                </c:pt>
                <c:pt idx="413">
                  <c:v>58995</c:v>
                </c:pt>
                <c:pt idx="414">
                  <c:v>141394.5</c:v>
                </c:pt>
                <c:pt idx="415">
                  <c:v>13413.75</c:v>
                </c:pt>
                <c:pt idx="416">
                  <c:v>25162</c:v>
                </c:pt>
                <c:pt idx="417">
                  <c:v>4478.5499999999993</c:v>
                </c:pt>
                <c:pt idx="418">
                  <c:v>2906.64</c:v>
                </c:pt>
                <c:pt idx="419">
                  <c:v>30452</c:v>
                </c:pt>
                <c:pt idx="420">
                  <c:v>14058</c:v>
                </c:pt>
                <c:pt idx="421">
                  <c:v>-17481.25</c:v>
                </c:pt>
                <c:pt idx="422">
                  <c:v>894.25</c:v>
                </c:pt>
                <c:pt idx="423">
                  <c:v>87250.5</c:v>
                </c:pt>
                <c:pt idx="424">
                  <c:v>76459.5</c:v>
                </c:pt>
                <c:pt idx="425">
                  <c:v>-3543.75</c:v>
                </c:pt>
                <c:pt idx="426">
                  <c:v>-13187.5</c:v>
                </c:pt>
                <c:pt idx="427">
                  <c:v>74236.5</c:v>
                </c:pt>
                <c:pt idx="428">
                  <c:v>15491.52</c:v>
                </c:pt>
                <c:pt idx="429">
                  <c:v>61157</c:v>
                </c:pt>
                <c:pt idx="430">
                  <c:v>79062.75</c:v>
                </c:pt>
                <c:pt idx="431">
                  <c:v>6969.6</c:v>
                </c:pt>
                <c:pt idx="432">
                  <c:v>42941</c:v>
                </c:pt>
                <c:pt idx="433">
                  <c:v>17693.28</c:v>
                </c:pt>
                <c:pt idx="434">
                  <c:v>4478.5499999999993</c:v>
                </c:pt>
                <c:pt idx="435">
                  <c:v>-5481.25</c:v>
                </c:pt>
                <c:pt idx="436">
                  <c:v>121153.5</c:v>
                </c:pt>
                <c:pt idx="437">
                  <c:v>74236.5</c:v>
                </c:pt>
                <c:pt idx="438">
                  <c:v>3540.5</c:v>
                </c:pt>
                <c:pt idx="439">
                  <c:v>13890.8</c:v>
                </c:pt>
                <c:pt idx="440">
                  <c:v>5436.6</c:v>
                </c:pt>
                <c:pt idx="441">
                  <c:v>1122.03</c:v>
                </c:pt>
                <c:pt idx="442">
                  <c:v>12513.599999999999</c:v>
                </c:pt>
                <c:pt idx="443">
                  <c:v>713.77</c:v>
                </c:pt>
                <c:pt idx="444">
                  <c:v>7978.5999999999985</c:v>
                </c:pt>
                <c:pt idx="445">
                  <c:v>8511.5999999999985</c:v>
                </c:pt>
                <c:pt idx="446">
                  <c:v>493.19999999999982</c:v>
                </c:pt>
                <c:pt idx="447">
                  <c:v>15578.64</c:v>
                </c:pt>
                <c:pt idx="448">
                  <c:v>9592.1999999999971</c:v>
                </c:pt>
                <c:pt idx="449">
                  <c:v>493.19999999999982</c:v>
                </c:pt>
                <c:pt idx="450">
                  <c:v>21992.400000000001</c:v>
                </c:pt>
                <c:pt idx="451">
                  <c:v>713.77</c:v>
                </c:pt>
                <c:pt idx="452">
                  <c:v>8511.5999999999985</c:v>
                </c:pt>
                <c:pt idx="453">
                  <c:v>5951.3249999999989</c:v>
                </c:pt>
                <c:pt idx="454">
                  <c:v>2423.52</c:v>
                </c:pt>
                <c:pt idx="455">
                  <c:v>3010.8</c:v>
                </c:pt>
                <c:pt idx="456">
                  <c:v>3026.3999999999996</c:v>
                </c:pt>
                <c:pt idx="457">
                  <c:v>3010.8</c:v>
                </c:pt>
                <c:pt idx="458">
                  <c:v>-25841.25</c:v>
                </c:pt>
                <c:pt idx="459">
                  <c:v>-11115</c:v>
                </c:pt>
                <c:pt idx="460">
                  <c:v>127215</c:v>
                </c:pt>
                <c:pt idx="461">
                  <c:v>-13530</c:v>
                </c:pt>
                <c:pt idx="462">
                  <c:v>7252</c:v>
                </c:pt>
                <c:pt idx="463">
                  <c:v>15632</c:v>
                </c:pt>
                <c:pt idx="464">
                  <c:v>11820</c:v>
                </c:pt>
                <c:pt idx="465">
                  <c:v>7584.5</c:v>
                </c:pt>
                <c:pt idx="466">
                  <c:v>1928</c:v>
                </c:pt>
                <c:pt idx="467">
                  <c:v>2383.5</c:v>
                </c:pt>
                <c:pt idx="468">
                  <c:v>1785</c:v>
                </c:pt>
                <c:pt idx="469">
                  <c:v>2765</c:v>
                </c:pt>
                <c:pt idx="470">
                  <c:v>35145</c:v>
                </c:pt>
                <c:pt idx="471">
                  <c:v>-11970</c:v>
                </c:pt>
                <c:pt idx="472">
                  <c:v>45880</c:v>
                </c:pt>
                <c:pt idx="473">
                  <c:v>1928</c:v>
                </c:pt>
                <c:pt idx="474">
                  <c:v>3464.5</c:v>
                </c:pt>
                <c:pt idx="475">
                  <c:v>-14370</c:v>
                </c:pt>
                <c:pt idx="476">
                  <c:v>17060</c:v>
                </c:pt>
                <c:pt idx="477">
                  <c:v>-2557.5</c:v>
                </c:pt>
                <c:pt idx="478">
                  <c:v>2243.5</c:v>
                </c:pt>
                <c:pt idx="479">
                  <c:v>154385</c:v>
                </c:pt>
                <c:pt idx="480">
                  <c:v>8640</c:v>
                </c:pt>
                <c:pt idx="481">
                  <c:v>45880</c:v>
                </c:pt>
                <c:pt idx="482">
                  <c:v>7584.5</c:v>
                </c:pt>
                <c:pt idx="483">
                  <c:v>-18967.5</c:v>
                </c:pt>
                <c:pt idx="484">
                  <c:v>102850</c:v>
                </c:pt>
                <c:pt idx="485">
                  <c:v>-4342.5</c:v>
                </c:pt>
                <c:pt idx="486">
                  <c:v>123200</c:v>
                </c:pt>
                <c:pt idx="487">
                  <c:v>59860</c:v>
                </c:pt>
                <c:pt idx="488">
                  <c:v>27459.899999999998</c:v>
                </c:pt>
                <c:pt idx="489">
                  <c:v>16312</c:v>
                </c:pt>
                <c:pt idx="490">
                  <c:v>20077.2</c:v>
                </c:pt>
                <c:pt idx="491">
                  <c:v>38885</c:v>
                </c:pt>
                <c:pt idx="492">
                  <c:v>7252</c:v>
                </c:pt>
                <c:pt idx="493">
                  <c:v>17060</c:v>
                </c:pt>
                <c:pt idx="494">
                  <c:v>9200.64</c:v>
                </c:pt>
                <c:pt idx="495">
                  <c:v>3114.3599999999997</c:v>
                </c:pt>
                <c:pt idx="496">
                  <c:v>9200.64</c:v>
                </c:pt>
                <c:pt idx="497">
                  <c:v>1286.3999999999999</c:v>
                </c:pt>
                <c:pt idx="498">
                  <c:v>3624.96</c:v>
                </c:pt>
                <c:pt idx="499">
                  <c:v>1942.17</c:v>
                </c:pt>
                <c:pt idx="500">
                  <c:v>7718.4</c:v>
                </c:pt>
                <c:pt idx="501">
                  <c:v>10718.324999999999</c:v>
                </c:pt>
                <c:pt idx="502">
                  <c:v>3624.96</c:v>
                </c:pt>
                <c:pt idx="503">
                  <c:v>14876.16</c:v>
                </c:pt>
                <c:pt idx="504">
                  <c:v>40788</c:v>
                </c:pt>
                <c:pt idx="505">
                  <c:v>47787</c:v>
                </c:pt>
                <c:pt idx="506">
                  <c:v>-21358.75</c:v>
                </c:pt>
                <c:pt idx="507">
                  <c:v>5226</c:v>
                </c:pt>
                <c:pt idx="508">
                  <c:v>3328.380000000001</c:v>
                </c:pt>
                <c:pt idx="509">
                  <c:v>39449</c:v>
                </c:pt>
                <c:pt idx="510">
                  <c:v>23337.599999999999</c:v>
                </c:pt>
                <c:pt idx="511">
                  <c:v>7225.9500000000007</c:v>
                </c:pt>
                <c:pt idx="512">
                  <c:v>14841</c:v>
                </c:pt>
                <c:pt idx="513">
                  <c:v>8751.5999999999985</c:v>
                </c:pt>
                <c:pt idx="514">
                  <c:v>108381.75</c:v>
                </c:pt>
                <c:pt idx="515">
                  <c:v>30919.68</c:v>
                </c:pt>
                <c:pt idx="516">
                  <c:v>18627.840000000004</c:v>
                </c:pt>
                <c:pt idx="517">
                  <c:v>18673.199999999997</c:v>
                </c:pt>
                <c:pt idx="518">
                  <c:v>6646.4000000000015</c:v>
                </c:pt>
                <c:pt idx="519">
                  <c:v>-21358.75</c:v>
                </c:pt>
                <c:pt idx="520">
                  <c:v>23337.599999999999</c:v>
                </c:pt>
                <c:pt idx="521">
                  <c:v>23222</c:v>
                </c:pt>
                <c:pt idx="522">
                  <c:v>21879</c:v>
                </c:pt>
                <c:pt idx="523">
                  <c:v>2194.25</c:v>
                </c:pt>
                <c:pt idx="524">
                  <c:v>17716</c:v>
                </c:pt>
                <c:pt idx="525">
                  <c:v>2223.84</c:v>
                </c:pt>
                <c:pt idx="526">
                  <c:v>13317.119999999999</c:v>
                </c:pt>
                <c:pt idx="527">
                  <c:v>-4847.5</c:v>
                </c:pt>
                <c:pt idx="528">
                  <c:v>22893</c:v>
                </c:pt>
                <c:pt idx="529">
                  <c:v>-27693.75</c:v>
                </c:pt>
                <c:pt idx="530">
                  <c:v>20506.199999999997</c:v>
                </c:pt>
                <c:pt idx="531">
                  <c:v>-12538.75</c:v>
                </c:pt>
                <c:pt idx="532">
                  <c:v>-8286.25</c:v>
                </c:pt>
                <c:pt idx="533">
                  <c:v>17716</c:v>
                </c:pt>
                <c:pt idx="534">
                  <c:v>7225.9500000000007</c:v>
                </c:pt>
                <c:pt idx="535">
                  <c:v>467.40000000000009</c:v>
                </c:pt>
                <c:pt idx="536">
                  <c:v>42528</c:v>
                </c:pt>
                <c:pt idx="537">
                  <c:v>-24160</c:v>
                </c:pt>
                <c:pt idx="538">
                  <c:v>-21560</c:v>
                </c:pt>
                <c:pt idx="539">
                  <c:v>8604.8000000000029</c:v>
                </c:pt>
                <c:pt idx="540">
                  <c:v>2166.3999999999996</c:v>
                </c:pt>
                <c:pt idx="541">
                  <c:v>24822</c:v>
                </c:pt>
                <c:pt idx="542">
                  <c:v>2807.2000000000007</c:v>
                </c:pt>
                <c:pt idx="543">
                  <c:v>3171.4399999999987</c:v>
                </c:pt>
                <c:pt idx="544">
                  <c:v>13034</c:v>
                </c:pt>
                <c:pt idx="545">
                  <c:v>16604</c:v>
                </c:pt>
                <c:pt idx="546">
                  <c:v>48930</c:v>
                </c:pt>
                <c:pt idx="547">
                  <c:v>42528</c:v>
                </c:pt>
                <c:pt idx="548">
                  <c:v>-21560</c:v>
                </c:pt>
                <c:pt idx="549">
                  <c:v>6878</c:v>
                </c:pt>
                <c:pt idx="550">
                  <c:v>13034</c:v>
                </c:pt>
                <c:pt idx="551">
                  <c:v>76512</c:v>
                </c:pt>
                <c:pt idx="552">
                  <c:v>19026</c:v>
                </c:pt>
                <c:pt idx="553">
                  <c:v>30100</c:v>
                </c:pt>
                <c:pt idx="554">
                  <c:v>57456</c:v>
                </c:pt>
                <c:pt idx="555">
                  <c:v>1216</c:v>
                </c:pt>
                <c:pt idx="556">
                  <c:v>9370.7999999999993</c:v>
                </c:pt>
                <c:pt idx="557">
                  <c:v>66960</c:v>
                </c:pt>
                <c:pt idx="558">
                  <c:v>47328</c:v>
                </c:pt>
                <c:pt idx="559">
                  <c:v>6878</c:v>
                </c:pt>
                <c:pt idx="560">
                  <c:v>15944.04</c:v>
                </c:pt>
                <c:pt idx="561">
                  <c:v>12398.399999999998</c:v>
                </c:pt>
                <c:pt idx="562">
                  <c:v>29904</c:v>
                </c:pt>
                <c:pt idx="563">
                  <c:v>47328</c:v>
                </c:pt>
                <c:pt idx="564">
                  <c:v>-23870</c:v>
                </c:pt>
                <c:pt idx="565">
                  <c:v>9370.7999999999993</c:v>
                </c:pt>
                <c:pt idx="566">
                  <c:v>12960</c:v>
                </c:pt>
                <c:pt idx="567">
                  <c:v>3968.9399999999987</c:v>
                </c:pt>
                <c:pt idx="568">
                  <c:v>3171.4399999999987</c:v>
                </c:pt>
                <c:pt idx="569">
                  <c:v>8153.5999999999985</c:v>
                </c:pt>
                <c:pt idx="570">
                  <c:v>19163.399999999998</c:v>
                </c:pt>
                <c:pt idx="571">
                  <c:v>20117.16</c:v>
                </c:pt>
                <c:pt idx="572">
                  <c:v>11635.599999999999</c:v>
                </c:pt>
                <c:pt idx="573">
                  <c:v>1729.5599999999995</c:v>
                </c:pt>
                <c:pt idx="574">
                  <c:v>11635.599999999999</c:v>
                </c:pt>
                <c:pt idx="575">
                  <c:v>20873.16</c:v>
                </c:pt>
                <c:pt idx="576">
                  <c:v>7829.3499999999985</c:v>
                </c:pt>
                <c:pt idx="577">
                  <c:v>7829.3499999999985</c:v>
                </c:pt>
                <c:pt idx="578">
                  <c:v>41073.5</c:v>
                </c:pt>
                <c:pt idx="579">
                  <c:v>79655</c:v>
                </c:pt>
                <c:pt idx="580">
                  <c:v>3270.8</c:v>
                </c:pt>
                <c:pt idx="581">
                  <c:v>43721.25</c:v>
                </c:pt>
                <c:pt idx="582">
                  <c:v>1414.8199999999997</c:v>
                </c:pt>
                <c:pt idx="583">
                  <c:v>4493.76</c:v>
                </c:pt>
                <c:pt idx="584">
                  <c:v>16687</c:v>
                </c:pt>
                <c:pt idx="585">
                  <c:v>9242.5999999999985</c:v>
                </c:pt>
                <c:pt idx="586">
                  <c:v>1567.9649999999992</c:v>
                </c:pt>
                <c:pt idx="587">
                  <c:v>8877</c:v>
                </c:pt>
                <c:pt idx="588">
                  <c:v>19543.400000000001</c:v>
                </c:pt>
                <c:pt idx="589">
                  <c:v>20039.199999999997</c:v>
                </c:pt>
                <c:pt idx="590">
                  <c:v>117124</c:v>
                </c:pt>
                <c:pt idx="591">
                  <c:v>-17808.75</c:v>
                </c:pt>
                <c:pt idx="592">
                  <c:v>4248.24</c:v>
                </c:pt>
                <c:pt idx="593">
                  <c:v>2938.6399999999994</c:v>
                </c:pt>
                <c:pt idx="594">
                  <c:v>4773.25</c:v>
                </c:pt>
                <c:pt idx="595">
                  <c:v>9242.5999999999985</c:v>
                </c:pt>
                <c:pt idx="596">
                  <c:v>15886.5</c:v>
                </c:pt>
                <c:pt idx="597">
                  <c:v>7536.7199999999993</c:v>
                </c:pt>
                <c:pt idx="598">
                  <c:v>12192.375</c:v>
                </c:pt>
                <c:pt idx="599">
                  <c:v>117124</c:v>
                </c:pt>
                <c:pt idx="600">
                  <c:v>1297.1000000000004</c:v>
                </c:pt>
                <c:pt idx="601">
                  <c:v>4493.76</c:v>
                </c:pt>
                <c:pt idx="602">
                  <c:v>2013</c:v>
                </c:pt>
                <c:pt idx="603">
                  <c:v>3050.3999999999996</c:v>
                </c:pt>
                <c:pt idx="604">
                  <c:v>28655</c:v>
                </c:pt>
                <c:pt idx="605">
                  <c:v>7536.7199999999993</c:v>
                </c:pt>
                <c:pt idx="606">
                  <c:v>-17808.75</c:v>
                </c:pt>
                <c:pt idx="607">
                  <c:v>4773.25</c:v>
                </c:pt>
                <c:pt idx="608">
                  <c:v>-18663.75</c:v>
                </c:pt>
                <c:pt idx="609">
                  <c:v>1297.1000000000004</c:v>
                </c:pt>
                <c:pt idx="610">
                  <c:v>3050.3999999999996</c:v>
                </c:pt>
                <c:pt idx="611">
                  <c:v>13168.8</c:v>
                </c:pt>
                <c:pt idx="612">
                  <c:v>18568.800000000003</c:v>
                </c:pt>
                <c:pt idx="613">
                  <c:v>12549.599999999999</c:v>
                </c:pt>
                <c:pt idx="614">
                  <c:v>3055.9199999999983</c:v>
                </c:pt>
                <c:pt idx="615">
                  <c:v>285.59999999999991</c:v>
                </c:pt>
                <c:pt idx="616">
                  <c:v>298.86000000000013</c:v>
                </c:pt>
                <c:pt idx="617">
                  <c:v>3055.9199999999983</c:v>
                </c:pt>
                <c:pt idx="618">
                  <c:v>806.19999999999982</c:v>
                </c:pt>
                <c:pt idx="619">
                  <c:v>17481.599999999999</c:v>
                </c:pt>
                <c:pt idx="620">
                  <c:v>5124.2999999999993</c:v>
                </c:pt>
                <c:pt idx="621">
                  <c:v>10196.76</c:v>
                </c:pt>
                <c:pt idx="622">
                  <c:v>285.59999999999991</c:v>
                </c:pt>
                <c:pt idx="623">
                  <c:v>10196.76</c:v>
                </c:pt>
                <c:pt idx="624">
                  <c:v>14749.8</c:v>
                </c:pt>
                <c:pt idx="625">
                  <c:v>6408</c:v>
                </c:pt>
                <c:pt idx="626">
                  <c:v>-12787.5</c:v>
                </c:pt>
                <c:pt idx="627">
                  <c:v>11968</c:v>
                </c:pt>
                <c:pt idx="628">
                  <c:v>8080</c:v>
                </c:pt>
                <c:pt idx="629">
                  <c:v>4387.7000000000007</c:v>
                </c:pt>
                <c:pt idx="630">
                  <c:v>6670</c:v>
                </c:pt>
                <c:pt idx="631">
                  <c:v>-35262.5</c:v>
                </c:pt>
                <c:pt idx="632">
                  <c:v>91327.5</c:v>
                </c:pt>
                <c:pt idx="633">
                  <c:v>49159</c:v>
                </c:pt>
                <c:pt idx="634">
                  <c:v>8200</c:v>
                </c:pt>
                <c:pt idx="635">
                  <c:v>395.76000000000022</c:v>
                </c:pt>
                <c:pt idx="636">
                  <c:v>1761.5400000000009</c:v>
                </c:pt>
                <c:pt idx="637">
                  <c:v>6670</c:v>
                </c:pt>
                <c:pt idx="638">
                  <c:v>1872</c:v>
                </c:pt>
                <c:pt idx="639">
                  <c:v>7163</c:v>
                </c:pt>
                <c:pt idx="640">
                  <c:v>5054.7000000000007</c:v>
                </c:pt>
                <c:pt idx="641">
                  <c:v>21330.48</c:v>
                </c:pt>
                <c:pt idx="642">
                  <c:v>1765.619999999999</c:v>
                </c:pt>
                <c:pt idx="643">
                  <c:v>28700</c:v>
                </c:pt>
                <c:pt idx="644">
                  <c:v>16265.04</c:v>
                </c:pt>
                <c:pt idx="645">
                  <c:v>48257</c:v>
                </c:pt>
                <c:pt idx="646">
                  <c:v>78802</c:v>
                </c:pt>
                <c:pt idx="647">
                  <c:v>-19687.5</c:v>
                </c:pt>
                <c:pt idx="648">
                  <c:v>4363.2000000000007</c:v>
                </c:pt>
                <c:pt idx="649">
                  <c:v>19680</c:v>
                </c:pt>
                <c:pt idx="650">
                  <c:v>2152</c:v>
                </c:pt>
                <c:pt idx="651">
                  <c:v>20288</c:v>
                </c:pt>
                <c:pt idx="652">
                  <c:v>2961.0600000000013</c:v>
                </c:pt>
                <c:pt idx="653">
                  <c:v>20328</c:v>
                </c:pt>
                <c:pt idx="654">
                  <c:v>2152</c:v>
                </c:pt>
                <c:pt idx="655">
                  <c:v>11968</c:v>
                </c:pt>
                <c:pt idx="656">
                  <c:v>8080</c:v>
                </c:pt>
                <c:pt idx="657">
                  <c:v>52521</c:v>
                </c:pt>
                <c:pt idx="658">
                  <c:v>7104</c:v>
                </c:pt>
                <c:pt idx="659">
                  <c:v>-35550</c:v>
                </c:pt>
                <c:pt idx="660">
                  <c:v>18117</c:v>
                </c:pt>
                <c:pt idx="661">
                  <c:v>5054.7000000000007</c:v>
                </c:pt>
                <c:pt idx="662">
                  <c:v>21330.48</c:v>
                </c:pt>
                <c:pt idx="663">
                  <c:v>1765.619999999999</c:v>
                </c:pt>
                <c:pt idx="664">
                  <c:v>1761.5400000000009</c:v>
                </c:pt>
                <c:pt idx="665">
                  <c:v>5423</c:v>
                </c:pt>
                <c:pt idx="666">
                  <c:v>-16142.5</c:v>
                </c:pt>
                <c:pt idx="667">
                  <c:v>-38046.25</c:v>
                </c:pt>
                <c:pt idx="668">
                  <c:v>-14918.75</c:v>
                </c:pt>
                <c:pt idx="669">
                  <c:v>2730</c:v>
                </c:pt>
                <c:pt idx="670">
                  <c:v>8106</c:v>
                </c:pt>
                <c:pt idx="671">
                  <c:v>4438.5</c:v>
                </c:pt>
                <c:pt idx="672">
                  <c:v>2408.25</c:v>
                </c:pt>
                <c:pt idx="673">
                  <c:v>106912.5</c:v>
                </c:pt>
                <c:pt idx="674">
                  <c:v>7037.25</c:v>
                </c:pt>
                <c:pt idx="675">
                  <c:v>1869</c:v>
                </c:pt>
                <c:pt idx="676">
                  <c:v>-14918.75</c:v>
                </c:pt>
                <c:pt idx="677">
                  <c:v>3231.25</c:v>
                </c:pt>
                <c:pt idx="678">
                  <c:v>75262.5</c:v>
                </c:pt>
                <c:pt idx="679">
                  <c:v>80662.5</c:v>
                </c:pt>
                <c:pt idx="680">
                  <c:v>6580.7999999999993</c:v>
                </c:pt>
                <c:pt idx="681">
                  <c:v>2051</c:v>
                </c:pt>
                <c:pt idx="682">
                  <c:v>3600</c:v>
                </c:pt>
                <c:pt idx="683">
                  <c:v>7771.5</c:v>
                </c:pt>
                <c:pt idx="684">
                  <c:v>-9116.25</c:v>
                </c:pt>
                <c:pt idx="685">
                  <c:v>12870</c:v>
                </c:pt>
                <c:pt idx="686">
                  <c:v>-33522.5</c:v>
                </c:pt>
                <c:pt idx="687">
                  <c:v>6580.7999999999993</c:v>
                </c:pt>
                <c:pt idx="688">
                  <c:v>6058.5</c:v>
                </c:pt>
                <c:pt idx="689">
                  <c:v>1353</c:v>
                </c:pt>
                <c:pt idx="690">
                  <c:v>1869</c:v>
                </c:pt>
                <c:pt idx="691">
                  <c:v>3231.25</c:v>
                </c:pt>
                <c:pt idx="692">
                  <c:v>-40617.5</c:v>
                </c:pt>
                <c:pt idx="693">
                  <c:v>-7590</c:v>
                </c:pt>
                <c:pt idx="694">
                  <c:v>2051</c:v>
                </c:pt>
                <c:pt idx="695">
                  <c:v>12375</c:v>
                </c:pt>
                <c:pt idx="696">
                  <c:v>2730</c:v>
                </c:pt>
                <c:pt idx="697">
                  <c:v>1299.6000000000004</c:v>
                </c:pt>
                <c:pt idx="698">
                  <c:v>686.85000000000014</c:v>
                </c:pt>
                <c:pt idx="699">
                  <c:v>13003.2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7-4C28-8521-042233A7B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929360"/>
        <c:axId val="1018924368"/>
      </c:scatterChart>
      <c:valAx>
        <c:axId val="101892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24368"/>
        <c:crosses val="autoZero"/>
        <c:crossBetween val="midCat"/>
      </c:valAx>
      <c:valAx>
        <c:axId val="10189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2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 Excel File.xlsx]Graphical Analysis!PivotTable27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'Graphical Analysis'!$B$112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'Graphical Analysis'!$A$113:$A$131</c:f>
              <c:multiLvlStrCache>
                <c:ptCount val="16"/>
                <c:lvl>
                  <c:pt idx="0">
                    <c:v>September</c:v>
                  </c:pt>
                  <c:pt idx="1">
                    <c:v>October</c:v>
                  </c:pt>
                  <c:pt idx="2">
                    <c:v>November</c:v>
                  </c:pt>
                  <c:pt idx="3">
                    <c:v>December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March</c:v>
                  </c:pt>
                  <c:pt idx="7">
                    <c:v>April</c:v>
                  </c:pt>
                  <c:pt idx="8">
                    <c:v>May</c:v>
                  </c:pt>
                  <c:pt idx="9">
                    <c:v>June</c:v>
                  </c:pt>
                  <c:pt idx="10">
                    <c:v>July</c:v>
                  </c:pt>
                  <c:pt idx="11">
                    <c:v>August</c:v>
                  </c:pt>
                  <c:pt idx="12">
                    <c:v>September</c:v>
                  </c:pt>
                  <c:pt idx="13">
                    <c:v>October</c:v>
                  </c:pt>
                  <c:pt idx="14">
                    <c:v>November</c:v>
                  </c:pt>
                  <c:pt idx="15">
                    <c:v>December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'Graphical Analysis'!$B$113:$B$131</c:f>
              <c:numCache>
                <c:formatCode>General</c:formatCode>
                <c:ptCount val="16"/>
                <c:pt idx="0">
                  <c:v>763603.03000000014</c:v>
                </c:pt>
                <c:pt idx="1">
                  <c:v>1657795.0999999999</c:v>
                </c:pt>
                <c:pt idx="2">
                  <c:v>765502.3</c:v>
                </c:pt>
                <c:pt idx="3">
                  <c:v>691564.08000000007</c:v>
                </c:pt>
                <c:pt idx="4">
                  <c:v>814028.67999999993</c:v>
                </c:pt>
                <c:pt idx="5">
                  <c:v>1148547.3899999999</c:v>
                </c:pt>
                <c:pt idx="6">
                  <c:v>669866.87</c:v>
                </c:pt>
                <c:pt idx="7">
                  <c:v>929984.56999999983</c:v>
                </c:pt>
                <c:pt idx="8">
                  <c:v>828640.06</c:v>
                </c:pt>
                <c:pt idx="9">
                  <c:v>1473753.8200000003</c:v>
                </c:pt>
                <c:pt idx="10">
                  <c:v>923865.67999999982</c:v>
                </c:pt>
                <c:pt idx="11">
                  <c:v>791066.41999999993</c:v>
                </c:pt>
                <c:pt idx="12">
                  <c:v>1023132.24</c:v>
                </c:pt>
                <c:pt idx="13">
                  <c:v>1781985.9200000004</c:v>
                </c:pt>
                <c:pt idx="14">
                  <c:v>604600.19999999995</c:v>
                </c:pt>
                <c:pt idx="15">
                  <c:v>2025765.9000000008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0-4EDB-984A-09B40F114745}"/>
            </c:ext>
          </c:extLst>
        </c:ser>
        <c:ser>
          <c:idx val="1"/>
          <c:order val="1"/>
          <c:tx>
            <c:strRef>
              <c:f>'Graphical Analysis'!$C$112</c:f>
              <c:strCache>
                <c:ptCount val="1"/>
                <c:pt idx="0">
                  <c:v>Sum of 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'Graphical Analysis'!$A$113:$A$131</c:f>
              <c:multiLvlStrCache>
                <c:ptCount val="16"/>
                <c:lvl>
                  <c:pt idx="0">
                    <c:v>September</c:v>
                  </c:pt>
                  <c:pt idx="1">
                    <c:v>October</c:v>
                  </c:pt>
                  <c:pt idx="2">
                    <c:v>November</c:v>
                  </c:pt>
                  <c:pt idx="3">
                    <c:v>December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March</c:v>
                  </c:pt>
                  <c:pt idx="7">
                    <c:v>April</c:v>
                  </c:pt>
                  <c:pt idx="8">
                    <c:v>May</c:v>
                  </c:pt>
                  <c:pt idx="9">
                    <c:v>June</c:v>
                  </c:pt>
                  <c:pt idx="10">
                    <c:v>July</c:v>
                  </c:pt>
                  <c:pt idx="11">
                    <c:v>August</c:v>
                  </c:pt>
                  <c:pt idx="12">
                    <c:v>September</c:v>
                  </c:pt>
                  <c:pt idx="13">
                    <c:v>October</c:v>
                  </c:pt>
                  <c:pt idx="14">
                    <c:v>November</c:v>
                  </c:pt>
                  <c:pt idx="15">
                    <c:v>December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'Graphical Analysis'!$C$113:$C$131</c:f>
              <c:numCache>
                <c:formatCode>General</c:formatCode>
                <c:ptCount val="16"/>
                <c:pt idx="0">
                  <c:v>4484000.03</c:v>
                </c:pt>
                <c:pt idx="1">
                  <c:v>9295611.0999999959</c:v>
                </c:pt>
                <c:pt idx="2">
                  <c:v>7267203.2999999998</c:v>
                </c:pt>
                <c:pt idx="3">
                  <c:v>5368441.08</c:v>
                </c:pt>
                <c:pt idx="4">
                  <c:v>6607761.6800000006</c:v>
                </c:pt>
                <c:pt idx="5">
                  <c:v>7297531.3900000006</c:v>
                </c:pt>
                <c:pt idx="6">
                  <c:v>5586859.8699999992</c:v>
                </c:pt>
                <c:pt idx="7">
                  <c:v>6964775.0700000003</c:v>
                </c:pt>
                <c:pt idx="8">
                  <c:v>6210211.0600000005</c:v>
                </c:pt>
                <c:pt idx="9">
                  <c:v>9518893.8199999966</c:v>
                </c:pt>
                <c:pt idx="10">
                  <c:v>8102920.1800000016</c:v>
                </c:pt>
                <c:pt idx="11">
                  <c:v>5864622.4199999999</c:v>
                </c:pt>
                <c:pt idx="12">
                  <c:v>6398697.2400000002</c:v>
                </c:pt>
                <c:pt idx="13">
                  <c:v>12375819.919999994</c:v>
                </c:pt>
                <c:pt idx="14">
                  <c:v>5384214.2000000002</c:v>
                </c:pt>
                <c:pt idx="15">
                  <c:v>11998787.900000002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D0-4EDB-984A-09B40F114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181839"/>
        <c:axId val="705167279"/>
      </c:lineChart>
      <c:catAx>
        <c:axId val="70518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67279"/>
        <c:crosses val="autoZero"/>
        <c:auto val="1"/>
        <c:lblAlgn val="ctr"/>
        <c:lblOffset val="100"/>
        <c:noMultiLvlLbl val="0"/>
      </c:catAx>
      <c:valAx>
        <c:axId val="70516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8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0</xdr:rowOff>
    </xdr:from>
    <xdr:to>
      <xdr:col>7</xdr:col>
      <xdr:colOff>1615440</xdr:colOff>
      <xdr:row>79</xdr:row>
      <xdr:rowOff>51995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402067</xdr:colOff>
      <xdr:row>2</xdr:row>
      <xdr:rowOff>18229</xdr:rowOff>
    </xdr:from>
    <xdr:to>
      <xdr:col>8</xdr:col>
      <xdr:colOff>79039</xdr:colOff>
      <xdr:row>11</xdr:row>
      <xdr:rowOff>76536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660918</xdr:colOff>
      <xdr:row>13</xdr:row>
      <xdr:rowOff>136849</xdr:rowOff>
    </xdr:from>
    <xdr:to>
      <xdr:col>10</xdr:col>
      <xdr:colOff>567612</xdr:colOff>
      <xdr:row>33</xdr:row>
      <xdr:rowOff>132184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14942</xdr:colOff>
      <xdr:row>36</xdr:row>
      <xdr:rowOff>10460</xdr:rowOff>
    </xdr:from>
    <xdr:to>
      <xdr:col>9</xdr:col>
      <xdr:colOff>493060</xdr:colOff>
      <xdr:row>51</xdr:row>
      <xdr:rowOff>64248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22412</xdr:colOff>
      <xdr:row>52</xdr:row>
      <xdr:rowOff>89646</xdr:rowOff>
    </xdr:from>
    <xdr:to>
      <xdr:col>7</xdr:col>
      <xdr:colOff>590177</xdr:colOff>
      <xdr:row>74</xdr:row>
      <xdr:rowOff>44822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5" name="Chart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418352</xdr:colOff>
      <xdr:row>77</xdr:row>
      <xdr:rowOff>67234</xdr:rowOff>
    </xdr:from>
    <xdr:to>
      <xdr:col>5</xdr:col>
      <xdr:colOff>97117</xdr:colOff>
      <xdr:row>97</xdr:row>
      <xdr:rowOff>44822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582705</xdr:colOff>
      <xdr:row>77</xdr:row>
      <xdr:rowOff>37353</xdr:rowOff>
    </xdr:from>
    <xdr:to>
      <xdr:col>15</xdr:col>
      <xdr:colOff>440764</xdr:colOff>
      <xdr:row>96</xdr:row>
      <xdr:rowOff>156883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112</xdr:row>
      <xdr:rowOff>0</xdr:rowOff>
    </xdr:from>
    <xdr:to>
      <xdr:col>11</xdr:col>
      <xdr:colOff>83521</xdr:colOff>
      <xdr:row>130</xdr:row>
      <xdr:rowOff>3586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HIDHAR" refreshedDate="45678.518755555553" createdVersion="6" refreshedVersion="6" minRefreshableVersion="3" recordCount="700">
  <cacheSource type="worksheet">
    <worksheetSource name="financials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164">
      <sharedItems count="6">
        <s v="Carretera"/>
        <s v="Montana"/>
        <s v="Paseo"/>
        <s v="Velo"/>
        <s v="VTT"/>
        <s v="Amarilla"/>
      </sharedItems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 count="12">
        <n v="1"/>
        <n v="6"/>
        <n v="12"/>
        <n v="3"/>
        <n v="7"/>
        <n v="8"/>
        <n v="9"/>
        <n v="10"/>
        <n v="2"/>
        <n v="11"/>
        <n v="4"/>
        <n v="5"/>
      </sharedItems>
    </cacheField>
    <cacheField name="Month Name" numFmtId="16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49">
      <sharedItems count="2">
        <s v="2014"/>
        <s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x v="0"/>
    <x v="0"/>
    <s v="None"/>
    <n v="1618.5"/>
    <n v="3"/>
    <n v="20"/>
    <n v="32370"/>
    <n v="0"/>
    <n v="32370"/>
    <n v="16185"/>
    <n v="16185"/>
    <d v="2014-01-01T00:00:00"/>
    <x v="0"/>
    <x v="0"/>
    <x v="0"/>
  </r>
  <r>
    <x v="0"/>
    <x v="1"/>
    <x v="0"/>
    <s v="None"/>
    <n v="1321"/>
    <n v="3"/>
    <n v="20"/>
    <n v="26420"/>
    <n v="0"/>
    <n v="26420"/>
    <n v="13210"/>
    <n v="13210"/>
    <d v="2014-01-01T00:00:00"/>
    <x v="0"/>
    <x v="0"/>
    <x v="0"/>
  </r>
  <r>
    <x v="1"/>
    <x v="2"/>
    <x v="0"/>
    <s v="None"/>
    <n v="2178"/>
    <n v="3"/>
    <n v="15"/>
    <n v="32670"/>
    <n v="0"/>
    <n v="32670"/>
    <n v="21780"/>
    <n v="10890"/>
    <d v="2014-06-01T00:00:00"/>
    <x v="1"/>
    <x v="1"/>
    <x v="0"/>
  </r>
  <r>
    <x v="1"/>
    <x v="1"/>
    <x v="0"/>
    <s v="None"/>
    <n v="888"/>
    <n v="3"/>
    <n v="15"/>
    <n v="13320"/>
    <n v="0"/>
    <n v="13320"/>
    <n v="8880"/>
    <n v="4440"/>
    <d v="2014-06-01T00:00:00"/>
    <x v="1"/>
    <x v="1"/>
    <x v="0"/>
  </r>
  <r>
    <x v="1"/>
    <x v="3"/>
    <x v="0"/>
    <s v="None"/>
    <n v="2470"/>
    <n v="3"/>
    <n v="15"/>
    <n v="37050"/>
    <n v="0"/>
    <n v="37050"/>
    <n v="24700"/>
    <n v="12350"/>
    <d v="2014-06-01T00:00:00"/>
    <x v="1"/>
    <x v="1"/>
    <x v="0"/>
  </r>
  <r>
    <x v="0"/>
    <x v="1"/>
    <x v="0"/>
    <s v="None"/>
    <n v="1513"/>
    <n v="3"/>
    <n v="350"/>
    <n v="529550"/>
    <n v="0"/>
    <n v="529550"/>
    <n v="393380"/>
    <n v="136170"/>
    <d v="2014-12-01T00:00:00"/>
    <x v="2"/>
    <x v="2"/>
    <x v="0"/>
  </r>
  <r>
    <x v="1"/>
    <x v="1"/>
    <x v="1"/>
    <s v="None"/>
    <n v="921"/>
    <n v="5"/>
    <n v="15"/>
    <n v="13815"/>
    <n v="0"/>
    <n v="13815"/>
    <n v="9210"/>
    <n v="4605"/>
    <d v="2014-03-01T00:00:00"/>
    <x v="3"/>
    <x v="3"/>
    <x v="0"/>
  </r>
  <r>
    <x v="2"/>
    <x v="0"/>
    <x v="1"/>
    <s v="None"/>
    <n v="2518"/>
    <n v="5"/>
    <n v="12"/>
    <n v="30216"/>
    <n v="0"/>
    <n v="30216"/>
    <n v="7554"/>
    <n v="22662"/>
    <d v="2014-06-01T00:00:00"/>
    <x v="1"/>
    <x v="1"/>
    <x v="0"/>
  </r>
  <r>
    <x v="0"/>
    <x v="2"/>
    <x v="1"/>
    <s v="None"/>
    <n v="1899"/>
    <n v="5"/>
    <n v="20"/>
    <n v="37980"/>
    <n v="0"/>
    <n v="37980"/>
    <n v="18990"/>
    <n v="18990"/>
    <d v="2014-06-01T00:00:00"/>
    <x v="1"/>
    <x v="1"/>
    <x v="0"/>
  </r>
  <r>
    <x v="2"/>
    <x v="1"/>
    <x v="1"/>
    <s v="None"/>
    <n v="1545"/>
    <n v="5"/>
    <n v="12"/>
    <n v="18540"/>
    <n v="0"/>
    <n v="18540"/>
    <n v="4635"/>
    <n v="13905"/>
    <d v="2014-06-01T00:00:00"/>
    <x v="1"/>
    <x v="1"/>
    <x v="0"/>
  </r>
  <r>
    <x v="1"/>
    <x v="3"/>
    <x v="1"/>
    <s v="None"/>
    <n v="2470"/>
    <n v="5"/>
    <n v="15"/>
    <n v="37050"/>
    <n v="0"/>
    <n v="37050"/>
    <n v="24700"/>
    <n v="12350"/>
    <d v="2014-06-01T00:00:00"/>
    <x v="1"/>
    <x v="1"/>
    <x v="0"/>
  </r>
  <r>
    <x v="3"/>
    <x v="0"/>
    <x v="1"/>
    <s v="None"/>
    <n v="2665.5"/>
    <n v="5"/>
    <n v="125"/>
    <n v="333187.5"/>
    <n v="0"/>
    <n v="333187.5"/>
    <n v="319860"/>
    <n v="13327.5"/>
    <d v="2014-07-01T00:00:00"/>
    <x v="4"/>
    <x v="4"/>
    <x v="0"/>
  </r>
  <r>
    <x v="4"/>
    <x v="3"/>
    <x v="1"/>
    <s v="None"/>
    <n v="958"/>
    <n v="5"/>
    <n v="300"/>
    <n v="287400"/>
    <n v="0"/>
    <n v="287400"/>
    <n v="239500"/>
    <n v="47900"/>
    <d v="2014-08-01T00:00:00"/>
    <x v="5"/>
    <x v="5"/>
    <x v="0"/>
  </r>
  <r>
    <x v="0"/>
    <x v="1"/>
    <x v="1"/>
    <s v="None"/>
    <n v="2146"/>
    <n v="5"/>
    <n v="7"/>
    <n v="15022"/>
    <n v="0"/>
    <n v="15022"/>
    <n v="10730"/>
    <n v="4292"/>
    <d v="2014-09-01T00:00:00"/>
    <x v="6"/>
    <x v="6"/>
    <x v="0"/>
  </r>
  <r>
    <x v="3"/>
    <x v="0"/>
    <x v="1"/>
    <s v="None"/>
    <n v="345"/>
    <n v="5"/>
    <n v="125"/>
    <n v="43125"/>
    <n v="0"/>
    <n v="43125"/>
    <n v="41400"/>
    <n v="1725"/>
    <d v="2013-10-01T00:00:00"/>
    <x v="7"/>
    <x v="7"/>
    <x v="1"/>
  </r>
  <r>
    <x v="1"/>
    <x v="4"/>
    <x v="1"/>
    <s v="None"/>
    <n v="615"/>
    <n v="5"/>
    <n v="15"/>
    <n v="9225"/>
    <n v="0"/>
    <n v="9225"/>
    <n v="6150"/>
    <n v="3075"/>
    <d v="2014-12-01T00:00:00"/>
    <x v="2"/>
    <x v="2"/>
    <x v="0"/>
  </r>
  <r>
    <x v="0"/>
    <x v="0"/>
    <x v="2"/>
    <s v="None"/>
    <n v="292"/>
    <n v="10"/>
    <n v="20"/>
    <n v="5840"/>
    <n v="0"/>
    <n v="5840"/>
    <n v="2920"/>
    <n v="2920"/>
    <d v="2014-02-01T00:00:00"/>
    <x v="8"/>
    <x v="8"/>
    <x v="0"/>
  </r>
  <r>
    <x v="1"/>
    <x v="3"/>
    <x v="2"/>
    <s v="None"/>
    <n v="974"/>
    <n v="10"/>
    <n v="15"/>
    <n v="14610"/>
    <n v="0"/>
    <n v="14610"/>
    <n v="9740"/>
    <n v="4870"/>
    <d v="2014-02-01T00:00:00"/>
    <x v="8"/>
    <x v="8"/>
    <x v="0"/>
  </r>
  <r>
    <x v="2"/>
    <x v="0"/>
    <x v="2"/>
    <s v="None"/>
    <n v="2518"/>
    <n v="10"/>
    <n v="12"/>
    <n v="30216"/>
    <n v="0"/>
    <n v="30216"/>
    <n v="7554"/>
    <n v="22662"/>
    <d v="2014-06-01T00:00:00"/>
    <x v="1"/>
    <x v="1"/>
    <x v="0"/>
  </r>
  <r>
    <x v="0"/>
    <x v="1"/>
    <x v="2"/>
    <s v="None"/>
    <n v="1006"/>
    <n v="10"/>
    <n v="350"/>
    <n v="352100"/>
    <n v="0"/>
    <n v="352100"/>
    <n v="261560"/>
    <n v="90540"/>
    <d v="2014-06-01T00:00:00"/>
    <x v="1"/>
    <x v="1"/>
    <x v="0"/>
  </r>
  <r>
    <x v="2"/>
    <x v="1"/>
    <x v="2"/>
    <s v="None"/>
    <n v="367"/>
    <n v="10"/>
    <n v="12"/>
    <n v="4404"/>
    <n v="0"/>
    <n v="4404"/>
    <n v="1101"/>
    <n v="3303"/>
    <d v="2014-07-01T00:00:00"/>
    <x v="4"/>
    <x v="4"/>
    <x v="0"/>
  </r>
  <r>
    <x v="0"/>
    <x v="3"/>
    <x v="2"/>
    <s v="None"/>
    <n v="883"/>
    <n v="10"/>
    <n v="7"/>
    <n v="6181"/>
    <n v="0"/>
    <n v="6181"/>
    <n v="4415"/>
    <n v="1766"/>
    <d v="2014-08-01T00:00:00"/>
    <x v="5"/>
    <x v="5"/>
    <x v="0"/>
  </r>
  <r>
    <x v="1"/>
    <x v="2"/>
    <x v="2"/>
    <s v="None"/>
    <n v="549"/>
    <n v="10"/>
    <n v="15"/>
    <n v="8235"/>
    <n v="0"/>
    <n v="8235"/>
    <n v="5490"/>
    <n v="2745"/>
    <d v="2013-09-01T00:00:00"/>
    <x v="6"/>
    <x v="6"/>
    <x v="1"/>
  </r>
  <r>
    <x v="4"/>
    <x v="3"/>
    <x v="2"/>
    <s v="None"/>
    <n v="788"/>
    <n v="10"/>
    <n v="300"/>
    <n v="236400"/>
    <n v="0"/>
    <n v="236400"/>
    <n v="197000"/>
    <n v="39400"/>
    <d v="2013-09-01T00:00:00"/>
    <x v="6"/>
    <x v="6"/>
    <x v="1"/>
  </r>
  <r>
    <x v="1"/>
    <x v="3"/>
    <x v="2"/>
    <s v="None"/>
    <n v="2472"/>
    <n v="10"/>
    <n v="15"/>
    <n v="37080"/>
    <n v="0"/>
    <n v="37080"/>
    <n v="24720"/>
    <n v="12360"/>
    <d v="2014-09-01T00:00:00"/>
    <x v="6"/>
    <x v="6"/>
    <x v="0"/>
  </r>
  <r>
    <x v="0"/>
    <x v="4"/>
    <x v="2"/>
    <s v="None"/>
    <n v="1143"/>
    <n v="10"/>
    <n v="7"/>
    <n v="8001"/>
    <n v="0"/>
    <n v="8001"/>
    <n v="5715"/>
    <n v="2286"/>
    <d v="2014-10-01T00:00:00"/>
    <x v="7"/>
    <x v="7"/>
    <x v="0"/>
  </r>
  <r>
    <x v="0"/>
    <x v="0"/>
    <x v="2"/>
    <s v="None"/>
    <n v="1725"/>
    <n v="10"/>
    <n v="350"/>
    <n v="603750"/>
    <n v="0"/>
    <n v="603750"/>
    <n v="448500"/>
    <n v="155250"/>
    <d v="2013-11-01T00:00:00"/>
    <x v="9"/>
    <x v="9"/>
    <x v="1"/>
  </r>
  <r>
    <x v="2"/>
    <x v="4"/>
    <x v="2"/>
    <s v="None"/>
    <n v="912"/>
    <n v="10"/>
    <n v="12"/>
    <n v="10944"/>
    <n v="0"/>
    <n v="10944"/>
    <n v="2736"/>
    <n v="8208"/>
    <d v="2013-11-01T00:00:00"/>
    <x v="9"/>
    <x v="9"/>
    <x v="1"/>
  </r>
  <r>
    <x v="1"/>
    <x v="0"/>
    <x v="2"/>
    <s v="None"/>
    <n v="2152"/>
    <n v="10"/>
    <n v="15"/>
    <n v="32280"/>
    <n v="0"/>
    <n v="32280"/>
    <n v="21520"/>
    <n v="10760"/>
    <d v="2013-12-01T00:00:00"/>
    <x v="2"/>
    <x v="2"/>
    <x v="1"/>
  </r>
  <r>
    <x v="0"/>
    <x v="0"/>
    <x v="2"/>
    <s v="None"/>
    <n v="1817"/>
    <n v="10"/>
    <n v="20"/>
    <n v="36340"/>
    <n v="0"/>
    <n v="36340"/>
    <n v="18170"/>
    <n v="18170"/>
    <d v="2014-12-01T00:00:00"/>
    <x v="2"/>
    <x v="2"/>
    <x v="0"/>
  </r>
  <r>
    <x v="0"/>
    <x v="1"/>
    <x v="2"/>
    <s v="None"/>
    <n v="1513"/>
    <n v="10"/>
    <n v="350"/>
    <n v="529550"/>
    <n v="0"/>
    <n v="529550"/>
    <n v="393380"/>
    <n v="136170"/>
    <d v="2014-12-01T00:00:00"/>
    <x v="2"/>
    <x v="2"/>
    <x v="0"/>
  </r>
  <r>
    <x v="0"/>
    <x v="3"/>
    <x v="3"/>
    <s v="None"/>
    <n v="1493"/>
    <n v="120"/>
    <n v="7"/>
    <n v="10451"/>
    <n v="0"/>
    <n v="10451"/>
    <n v="7465"/>
    <n v="2986"/>
    <d v="2014-01-01T00:00:00"/>
    <x v="0"/>
    <x v="0"/>
    <x v="0"/>
  </r>
  <r>
    <x v="3"/>
    <x v="2"/>
    <x v="3"/>
    <s v="None"/>
    <n v="1804"/>
    <n v="120"/>
    <n v="125"/>
    <n v="225500"/>
    <n v="0"/>
    <n v="225500"/>
    <n v="216480"/>
    <n v="9020"/>
    <d v="2014-02-01T00:00:00"/>
    <x v="8"/>
    <x v="8"/>
    <x v="0"/>
  </r>
  <r>
    <x v="2"/>
    <x v="1"/>
    <x v="3"/>
    <s v="None"/>
    <n v="2161"/>
    <n v="120"/>
    <n v="12"/>
    <n v="25932"/>
    <n v="0"/>
    <n v="25932"/>
    <n v="6483"/>
    <n v="19449"/>
    <d v="2014-03-01T00:00:00"/>
    <x v="3"/>
    <x v="3"/>
    <x v="0"/>
  </r>
  <r>
    <x v="0"/>
    <x v="1"/>
    <x v="3"/>
    <s v="None"/>
    <n v="1006"/>
    <n v="120"/>
    <n v="350"/>
    <n v="352100"/>
    <n v="0"/>
    <n v="352100"/>
    <n v="261560"/>
    <n v="90540"/>
    <d v="2014-06-01T00:00:00"/>
    <x v="1"/>
    <x v="1"/>
    <x v="0"/>
  </r>
  <r>
    <x v="2"/>
    <x v="1"/>
    <x v="3"/>
    <s v="None"/>
    <n v="1545"/>
    <n v="120"/>
    <n v="12"/>
    <n v="18540"/>
    <n v="0"/>
    <n v="18540"/>
    <n v="4635"/>
    <n v="13905"/>
    <d v="2014-06-01T00:00:00"/>
    <x v="1"/>
    <x v="1"/>
    <x v="0"/>
  </r>
  <r>
    <x v="3"/>
    <x v="4"/>
    <x v="3"/>
    <s v="None"/>
    <n v="2821"/>
    <n v="120"/>
    <n v="125"/>
    <n v="352625"/>
    <n v="0"/>
    <n v="352625"/>
    <n v="338520"/>
    <n v="14105"/>
    <d v="2014-08-01T00:00:00"/>
    <x v="5"/>
    <x v="5"/>
    <x v="0"/>
  </r>
  <r>
    <x v="3"/>
    <x v="0"/>
    <x v="3"/>
    <s v="None"/>
    <n v="345"/>
    <n v="120"/>
    <n v="125"/>
    <n v="43125"/>
    <n v="0"/>
    <n v="43125"/>
    <n v="41400"/>
    <n v="1725"/>
    <d v="2013-10-01T00:00:00"/>
    <x v="7"/>
    <x v="7"/>
    <x v="1"/>
  </r>
  <r>
    <x v="4"/>
    <x v="0"/>
    <x v="4"/>
    <s v="None"/>
    <n v="2001"/>
    <n v="250"/>
    <n v="300"/>
    <n v="600300"/>
    <n v="0"/>
    <n v="600300"/>
    <n v="500250"/>
    <n v="100050"/>
    <d v="2014-02-01T00:00:00"/>
    <x v="8"/>
    <x v="8"/>
    <x v="0"/>
  </r>
  <r>
    <x v="2"/>
    <x v="1"/>
    <x v="4"/>
    <s v="None"/>
    <n v="2838"/>
    <n v="250"/>
    <n v="12"/>
    <n v="34056"/>
    <n v="0"/>
    <n v="34056"/>
    <n v="8514"/>
    <n v="25542"/>
    <d v="2014-04-01T00:00:00"/>
    <x v="10"/>
    <x v="10"/>
    <x v="0"/>
  </r>
  <r>
    <x v="1"/>
    <x v="2"/>
    <x v="4"/>
    <s v="None"/>
    <n v="2178"/>
    <n v="250"/>
    <n v="15"/>
    <n v="32670"/>
    <n v="0"/>
    <n v="32670"/>
    <n v="21780"/>
    <n v="10890"/>
    <d v="2014-06-01T00:00:00"/>
    <x v="1"/>
    <x v="1"/>
    <x v="0"/>
  </r>
  <r>
    <x v="1"/>
    <x v="1"/>
    <x v="4"/>
    <s v="None"/>
    <n v="888"/>
    <n v="250"/>
    <n v="15"/>
    <n v="13320"/>
    <n v="0"/>
    <n v="13320"/>
    <n v="8880"/>
    <n v="4440"/>
    <d v="2014-06-01T00:00:00"/>
    <x v="1"/>
    <x v="1"/>
    <x v="0"/>
  </r>
  <r>
    <x v="0"/>
    <x v="2"/>
    <x v="4"/>
    <s v="None"/>
    <n v="1527"/>
    <n v="250"/>
    <n v="350"/>
    <n v="534450"/>
    <n v="0"/>
    <n v="534450"/>
    <n v="397020"/>
    <n v="137430"/>
    <d v="2013-09-01T00:00:00"/>
    <x v="6"/>
    <x v="6"/>
    <x v="1"/>
  </r>
  <r>
    <x v="4"/>
    <x v="2"/>
    <x v="4"/>
    <s v="None"/>
    <n v="2151"/>
    <n v="250"/>
    <n v="300"/>
    <n v="645300"/>
    <n v="0"/>
    <n v="645300"/>
    <n v="537750"/>
    <n v="107550"/>
    <d v="2014-09-01T00:00:00"/>
    <x v="6"/>
    <x v="6"/>
    <x v="0"/>
  </r>
  <r>
    <x v="0"/>
    <x v="0"/>
    <x v="4"/>
    <s v="None"/>
    <n v="1817"/>
    <n v="250"/>
    <n v="20"/>
    <n v="36340"/>
    <n v="0"/>
    <n v="36340"/>
    <n v="18170"/>
    <n v="18170"/>
    <d v="2014-12-01T00:00:00"/>
    <x v="2"/>
    <x v="2"/>
    <x v="0"/>
  </r>
  <r>
    <x v="0"/>
    <x v="2"/>
    <x v="5"/>
    <s v="None"/>
    <n v="2750"/>
    <n v="260"/>
    <n v="350"/>
    <n v="962500"/>
    <n v="0"/>
    <n v="962500"/>
    <n v="715000"/>
    <n v="247500"/>
    <d v="2014-02-01T00:00:00"/>
    <x v="8"/>
    <x v="8"/>
    <x v="0"/>
  </r>
  <r>
    <x v="2"/>
    <x v="4"/>
    <x v="5"/>
    <s v="None"/>
    <n v="1953"/>
    <n v="260"/>
    <n v="12"/>
    <n v="23436"/>
    <n v="0"/>
    <n v="23436"/>
    <n v="5859"/>
    <n v="17577"/>
    <d v="2014-04-01T00:00:00"/>
    <x v="10"/>
    <x v="10"/>
    <x v="0"/>
  </r>
  <r>
    <x v="3"/>
    <x v="1"/>
    <x v="5"/>
    <s v="None"/>
    <n v="4219.5"/>
    <n v="260"/>
    <n v="125"/>
    <n v="527437.5"/>
    <n v="0"/>
    <n v="527437.5"/>
    <n v="506340"/>
    <n v="21097.5"/>
    <d v="2014-04-01T00:00:00"/>
    <x v="10"/>
    <x v="10"/>
    <x v="0"/>
  </r>
  <r>
    <x v="0"/>
    <x v="2"/>
    <x v="5"/>
    <s v="None"/>
    <n v="1899"/>
    <n v="260"/>
    <n v="20"/>
    <n v="37980"/>
    <n v="0"/>
    <n v="37980"/>
    <n v="18990"/>
    <n v="18990"/>
    <d v="2014-06-01T00:00:00"/>
    <x v="1"/>
    <x v="1"/>
    <x v="0"/>
  </r>
  <r>
    <x v="0"/>
    <x v="1"/>
    <x v="5"/>
    <s v="None"/>
    <n v="1686"/>
    <n v="260"/>
    <n v="7"/>
    <n v="11802"/>
    <n v="0"/>
    <n v="11802"/>
    <n v="8430"/>
    <n v="3372"/>
    <d v="2014-07-01T00:00:00"/>
    <x v="4"/>
    <x v="4"/>
    <x v="0"/>
  </r>
  <r>
    <x v="2"/>
    <x v="4"/>
    <x v="5"/>
    <s v="None"/>
    <n v="2141"/>
    <n v="260"/>
    <n v="12"/>
    <n v="25692"/>
    <n v="0"/>
    <n v="25692"/>
    <n v="6423"/>
    <n v="19269"/>
    <d v="2014-08-01T00:00:00"/>
    <x v="5"/>
    <x v="5"/>
    <x v="0"/>
  </r>
  <r>
    <x v="0"/>
    <x v="4"/>
    <x v="5"/>
    <s v="None"/>
    <n v="1143"/>
    <n v="260"/>
    <n v="7"/>
    <n v="8001"/>
    <n v="0"/>
    <n v="8001"/>
    <n v="5715"/>
    <n v="2286"/>
    <d v="2014-10-01T00:00:00"/>
    <x v="7"/>
    <x v="7"/>
    <x v="0"/>
  </r>
  <r>
    <x v="1"/>
    <x v="4"/>
    <x v="5"/>
    <s v="None"/>
    <n v="615"/>
    <n v="260"/>
    <n v="15"/>
    <n v="9225"/>
    <n v="0"/>
    <n v="9225"/>
    <n v="6150"/>
    <n v="3075"/>
    <d v="2014-12-01T00:00:00"/>
    <x v="2"/>
    <x v="2"/>
    <x v="0"/>
  </r>
  <r>
    <x v="0"/>
    <x v="2"/>
    <x v="2"/>
    <s v="Low"/>
    <n v="3945"/>
    <n v="10"/>
    <n v="7"/>
    <n v="27615"/>
    <n v="276.14999999999998"/>
    <n v="27338.850000000002"/>
    <n v="19725"/>
    <n v="7613.8500000000022"/>
    <d v="2014-01-01T00:00:00"/>
    <x v="0"/>
    <x v="0"/>
    <x v="0"/>
  </r>
  <r>
    <x v="1"/>
    <x v="2"/>
    <x v="2"/>
    <s v="Low"/>
    <n v="2296"/>
    <n v="10"/>
    <n v="15"/>
    <n v="34440"/>
    <n v="344.4"/>
    <n v="34095.599999999999"/>
    <n v="22960"/>
    <n v="11135.599999999999"/>
    <d v="2014-02-01T00:00:00"/>
    <x v="8"/>
    <x v="8"/>
    <x v="0"/>
  </r>
  <r>
    <x v="0"/>
    <x v="2"/>
    <x v="2"/>
    <s v="Low"/>
    <n v="1030"/>
    <n v="10"/>
    <n v="7"/>
    <n v="7210"/>
    <n v="72.099999999999994"/>
    <n v="7137.9"/>
    <n v="5150"/>
    <n v="1987.8999999999996"/>
    <d v="2014-05-01T00:00:00"/>
    <x v="11"/>
    <x v="11"/>
    <x v="0"/>
  </r>
  <r>
    <x v="0"/>
    <x v="2"/>
    <x v="3"/>
    <s v="Low"/>
    <n v="639"/>
    <n v="120"/>
    <n v="7"/>
    <n v="4473"/>
    <n v="44.73"/>
    <n v="4428.2700000000004"/>
    <n v="3195"/>
    <n v="1233.2700000000004"/>
    <d v="2014-11-01T00:00:00"/>
    <x v="9"/>
    <x v="9"/>
    <x v="0"/>
  </r>
  <r>
    <x v="0"/>
    <x v="0"/>
    <x v="4"/>
    <s v="Low"/>
    <n v="1326"/>
    <n v="250"/>
    <n v="7"/>
    <n v="9282"/>
    <n v="92.82"/>
    <n v="9189.18"/>
    <n v="6630"/>
    <n v="2559.1800000000003"/>
    <d v="2014-03-01T00:00:00"/>
    <x v="3"/>
    <x v="3"/>
    <x v="0"/>
  </r>
  <r>
    <x v="2"/>
    <x v="4"/>
    <x v="0"/>
    <s v="Low"/>
    <n v="1858"/>
    <n v="3"/>
    <n v="12"/>
    <n v="22296"/>
    <n v="222.96"/>
    <n v="22073.040000000001"/>
    <n v="5574"/>
    <n v="16499.04"/>
    <d v="2014-02-01T00:00:00"/>
    <x v="8"/>
    <x v="8"/>
    <x v="0"/>
  </r>
  <r>
    <x v="0"/>
    <x v="3"/>
    <x v="0"/>
    <s v="Low"/>
    <n v="1210"/>
    <n v="3"/>
    <n v="350"/>
    <n v="423500"/>
    <n v="4235"/>
    <n v="419265"/>
    <n v="314600"/>
    <n v="104665"/>
    <d v="2014-03-01T00:00:00"/>
    <x v="3"/>
    <x v="3"/>
    <x v="0"/>
  </r>
  <r>
    <x v="0"/>
    <x v="4"/>
    <x v="0"/>
    <s v="Low"/>
    <n v="2529"/>
    <n v="3"/>
    <n v="7"/>
    <n v="17703"/>
    <n v="177.03"/>
    <n v="17525.97"/>
    <n v="12645"/>
    <n v="4880.9699999999993"/>
    <d v="2014-07-01T00:00:00"/>
    <x v="4"/>
    <x v="4"/>
    <x v="0"/>
  </r>
  <r>
    <x v="2"/>
    <x v="0"/>
    <x v="0"/>
    <s v="Low"/>
    <n v="1445"/>
    <n v="3"/>
    <n v="12"/>
    <n v="17340"/>
    <n v="173.4"/>
    <n v="17166.599999999999"/>
    <n v="4335"/>
    <n v="12831.599999999999"/>
    <d v="2014-09-01T00:00:00"/>
    <x v="6"/>
    <x v="6"/>
    <x v="0"/>
  </r>
  <r>
    <x v="3"/>
    <x v="4"/>
    <x v="0"/>
    <s v="Low"/>
    <n v="330"/>
    <n v="3"/>
    <n v="125"/>
    <n v="41250"/>
    <n v="412.5"/>
    <n v="40837.5"/>
    <n v="39600"/>
    <n v="1237.5"/>
    <d v="2013-09-01T00:00:00"/>
    <x v="6"/>
    <x v="6"/>
    <x v="1"/>
  </r>
  <r>
    <x v="2"/>
    <x v="2"/>
    <x v="0"/>
    <s v="Low"/>
    <n v="2671"/>
    <n v="3"/>
    <n v="12"/>
    <n v="32052"/>
    <n v="320.52"/>
    <n v="31731.48"/>
    <n v="8013"/>
    <n v="23718.48"/>
    <d v="2014-09-01T00:00:00"/>
    <x v="6"/>
    <x v="6"/>
    <x v="0"/>
  </r>
  <r>
    <x v="2"/>
    <x v="1"/>
    <x v="0"/>
    <s v="Low"/>
    <n v="766"/>
    <n v="3"/>
    <n v="12"/>
    <n v="9192"/>
    <n v="91.92"/>
    <n v="9100.08"/>
    <n v="2298"/>
    <n v="6802.08"/>
    <d v="2013-10-01T00:00:00"/>
    <x v="7"/>
    <x v="7"/>
    <x v="1"/>
  </r>
  <r>
    <x v="4"/>
    <x v="3"/>
    <x v="0"/>
    <s v="Low"/>
    <n v="494"/>
    <n v="3"/>
    <n v="300"/>
    <n v="148200"/>
    <n v="1482"/>
    <n v="146718"/>
    <n v="123500"/>
    <n v="23218"/>
    <d v="2013-10-01T00:00:00"/>
    <x v="7"/>
    <x v="7"/>
    <x v="1"/>
  </r>
  <r>
    <x v="0"/>
    <x v="3"/>
    <x v="0"/>
    <s v="Low"/>
    <n v="1397"/>
    <n v="3"/>
    <n v="350"/>
    <n v="488950"/>
    <n v="4889.5"/>
    <n v="484060.5"/>
    <n v="363220"/>
    <n v="120840.5"/>
    <d v="2014-10-01T00:00:00"/>
    <x v="7"/>
    <x v="7"/>
    <x v="0"/>
  </r>
  <r>
    <x v="0"/>
    <x v="2"/>
    <x v="0"/>
    <s v="Low"/>
    <n v="2155"/>
    <n v="3"/>
    <n v="350"/>
    <n v="754250"/>
    <n v="7542.5"/>
    <n v="746707.5"/>
    <n v="560300"/>
    <n v="186407.5"/>
    <d v="2014-12-01T00:00:00"/>
    <x v="2"/>
    <x v="2"/>
    <x v="0"/>
  </r>
  <r>
    <x v="1"/>
    <x v="3"/>
    <x v="1"/>
    <s v="Low"/>
    <n v="2214"/>
    <n v="5"/>
    <n v="15"/>
    <n v="33210"/>
    <n v="332.1"/>
    <n v="32877.9"/>
    <n v="22140"/>
    <n v="10737.900000000001"/>
    <d v="2014-03-01T00:00:00"/>
    <x v="3"/>
    <x v="3"/>
    <x v="0"/>
  </r>
  <r>
    <x v="4"/>
    <x v="4"/>
    <x v="1"/>
    <s v="Low"/>
    <n v="2301"/>
    <n v="5"/>
    <n v="300"/>
    <n v="690300"/>
    <n v="6903"/>
    <n v="683397"/>
    <n v="575250"/>
    <n v="108147"/>
    <d v="2014-04-01T00:00:00"/>
    <x v="10"/>
    <x v="10"/>
    <x v="0"/>
  </r>
  <r>
    <x v="0"/>
    <x v="2"/>
    <x v="1"/>
    <s v="Low"/>
    <n v="1375.5"/>
    <n v="5"/>
    <n v="20"/>
    <n v="27510"/>
    <n v="275.10000000000002"/>
    <n v="27234.899999999998"/>
    <n v="13755"/>
    <n v="13479.899999999998"/>
    <d v="2014-07-01T00:00:00"/>
    <x v="4"/>
    <x v="4"/>
    <x v="0"/>
  </r>
  <r>
    <x v="0"/>
    <x v="0"/>
    <x v="1"/>
    <s v="Low"/>
    <n v="1830"/>
    <n v="5"/>
    <n v="7"/>
    <n v="12810"/>
    <n v="128.1"/>
    <n v="12681.9"/>
    <n v="9150"/>
    <n v="3531.8999999999996"/>
    <d v="2014-08-01T00:00:00"/>
    <x v="5"/>
    <x v="5"/>
    <x v="0"/>
  </r>
  <r>
    <x v="4"/>
    <x v="4"/>
    <x v="1"/>
    <s v="Low"/>
    <n v="2498"/>
    <n v="5"/>
    <n v="300"/>
    <n v="749400"/>
    <n v="7494"/>
    <n v="741906"/>
    <n v="624500"/>
    <n v="117406"/>
    <d v="2013-09-01T00:00:00"/>
    <x v="6"/>
    <x v="6"/>
    <x v="1"/>
  </r>
  <r>
    <x v="3"/>
    <x v="4"/>
    <x v="1"/>
    <s v="Low"/>
    <n v="663"/>
    <n v="5"/>
    <n v="125"/>
    <n v="82875"/>
    <n v="828.75"/>
    <n v="82046.25"/>
    <n v="79560"/>
    <n v="2486.25"/>
    <d v="2013-10-01T00:00:00"/>
    <x v="7"/>
    <x v="7"/>
    <x v="1"/>
  </r>
  <r>
    <x v="1"/>
    <x v="4"/>
    <x v="2"/>
    <s v="Low"/>
    <n v="1514"/>
    <n v="10"/>
    <n v="15"/>
    <n v="22710"/>
    <n v="227.1"/>
    <n v="22482.9"/>
    <n v="15140"/>
    <n v="7342.9000000000015"/>
    <d v="2014-02-01T00:00:00"/>
    <x v="8"/>
    <x v="8"/>
    <x v="0"/>
  </r>
  <r>
    <x v="0"/>
    <x v="4"/>
    <x v="2"/>
    <s v="Low"/>
    <n v="4492.5"/>
    <n v="10"/>
    <n v="7"/>
    <n v="31447.5"/>
    <n v="314.47500000000002"/>
    <n v="31133.024999999998"/>
    <n v="22462.5"/>
    <n v="8670.5249999999978"/>
    <d v="2014-04-01T00:00:00"/>
    <x v="10"/>
    <x v="10"/>
    <x v="0"/>
  </r>
  <r>
    <x v="3"/>
    <x v="4"/>
    <x v="2"/>
    <s v="Low"/>
    <n v="727"/>
    <n v="10"/>
    <n v="125"/>
    <n v="90875"/>
    <n v="908.75"/>
    <n v="89966.25"/>
    <n v="87240"/>
    <n v="2726.25"/>
    <d v="2014-06-01T00:00:00"/>
    <x v="1"/>
    <x v="1"/>
    <x v="0"/>
  </r>
  <r>
    <x v="3"/>
    <x v="2"/>
    <x v="2"/>
    <s v="Low"/>
    <n v="787"/>
    <n v="10"/>
    <n v="125"/>
    <n v="98375"/>
    <n v="983.75"/>
    <n v="97391.25"/>
    <n v="94440"/>
    <n v="2951.25"/>
    <d v="2014-06-01T00:00:00"/>
    <x v="1"/>
    <x v="1"/>
    <x v="0"/>
  </r>
  <r>
    <x v="3"/>
    <x v="3"/>
    <x v="2"/>
    <s v="Low"/>
    <n v="1823"/>
    <n v="10"/>
    <n v="125"/>
    <n v="227875"/>
    <n v="2278.75"/>
    <n v="225596.25"/>
    <n v="218760"/>
    <n v="6836.25"/>
    <d v="2014-07-01T00:00:00"/>
    <x v="4"/>
    <x v="4"/>
    <x v="0"/>
  </r>
  <r>
    <x v="1"/>
    <x v="1"/>
    <x v="2"/>
    <s v="Low"/>
    <n v="747"/>
    <n v="10"/>
    <n v="15"/>
    <n v="11205"/>
    <n v="112.05"/>
    <n v="11092.95"/>
    <n v="7470"/>
    <n v="3622.9500000000007"/>
    <d v="2014-09-01T00:00:00"/>
    <x v="6"/>
    <x v="6"/>
    <x v="0"/>
  </r>
  <r>
    <x v="2"/>
    <x v="1"/>
    <x v="2"/>
    <s v="Low"/>
    <n v="766"/>
    <n v="10"/>
    <n v="12"/>
    <n v="9192"/>
    <n v="91.92"/>
    <n v="9100.08"/>
    <n v="2298"/>
    <n v="6802.08"/>
    <d v="2013-10-01T00:00:00"/>
    <x v="7"/>
    <x v="7"/>
    <x v="1"/>
  </r>
  <r>
    <x v="4"/>
    <x v="4"/>
    <x v="2"/>
    <s v="Low"/>
    <n v="2905"/>
    <n v="10"/>
    <n v="300"/>
    <n v="871500"/>
    <n v="8715"/>
    <n v="862785"/>
    <n v="726250"/>
    <n v="136535"/>
    <d v="2014-11-01T00:00:00"/>
    <x v="9"/>
    <x v="9"/>
    <x v="0"/>
  </r>
  <r>
    <x v="0"/>
    <x v="2"/>
    <x v="2"/>
    <s v="Low"/>
    <n v="2155"/>
    <n v="10"/>
    <n v="350"/>
    <n v="754250"/>
    <n v="7542.5"/>
    <n v="746707.5"/>
    <n v="560300"/>
    <n v="186407.5"/>
    <d v="2014-12-01T00:00:00"/>
    <x v="2"/>
    <x v="2"/>
    <x v="0"/>
  </r>
  <r>
    <x v="0"/>
    <x v="2"/>
    <x v="3"/>
    <s v="Low"/>
    <n v="3864"/>
    <n v="120"/>
    <n v="20"/>
    <n v="77280"/>
    <n v="772.80000000000007"/>
    <n v="76507.200000000012"/>
    <n v="38640"/>
    <n v="37867.200000000004"/>
    <d v="2014-04-01T00:00:00"/>
    <x v="10"/>
    <x v="10"/>
    <x v="0"/>
  </r>
  <r>
    <x v="0"/>
    <x v="3"/>
    <x v="3"/>
    <s v="Low"/>
    <n v="362"/>
    <n v="120"/>
    <n v="7"/>
    <n v="2534"/>
    <n v="25.34"/>
    <n v="2508.66"/>
    <n v="1810"/>
    <n v="698.65999999999985"/>
    <d v="2014-05-01T00:00:00"/>
    <x v="11"/>
    <x v="11"/>
    <x v="0"/>
  </r>
  <r>
    <x v="3"/>
    <x v="0"/>
    <x v="3"/>
    <s v="Low"/>
    <n v="923"/>
    <n v="120"/>
    <n v="125"/>
    <n v="115375"/>
    <n v="1153.75"/>
    <n v="114221.25"/>
    <n v="110760"/>
    <n v="3461.25"/>
    <d v="2014-08-01T00:00:00"/>
    <x v="5"/>
    <x v="5"/>
    <x v="0"/>
  </r>
  <r>
    <x v="3"/>
    <x v="4"/>
    <x v="3"/>
    <s v="Low"/>
    <n v="663"/>
    <n v="120"/>
    <n v="125"/>
    <n v="82875"/>
    <n v="828.75"/>
    <n v="82046.25"/>
    <n v="79560"/>
    <n v="2486.25"/>
    <d v="2013-10-01T00:00:00"/>
    <x v="7"/>
    <x v="7"/>
    <x v="1"/>
  </r>
  <r>
    <x v="0"/>
    <x v="0"/>
    <x v="3"/>
    <s v="Low"/>
    <n v="2092"/>
    <n v="120"/>
    <n v="7"/>
    <n v="14644"/>
    <n v="146.44"/>
    <n v="14497.56"/>
    <n v="10460"/>
    <n v="4037.5599999999995"/>
    <d v="2013-11-01T00:00:00"/>
    <x v="9"/>
    <x v="9"/>
    <x v="1"/>
  </r>
  <r>
    <x v="0"/>
    <x v="1"/>
    <x v="4"/>
    <s v="Low"/>
    <n v="263"/>
    <n v="250"/>
    <n v="7"/>
    <n v="1841"/>
    <n v="18.41"/>
    <n v="1822.59"/>
    <n v="1315"/>
    <n v="507.58999999999992"/>
    <d v="2014-03-01T00:00:00"/>
    <x v="3"/>
    <x v="3"/>
    <x v="0"/>
  </r>
  <r>
    <x v="0"/>
    <x v="0"/>
    <x v="4"/>
    <s v="Low"/>
    <n v="943.5"/>
    <n v="250"/>
    <n v="350"/>
    <n v="330225"/>
    <n v="3302.25"/>
    <n v="326922.75"/>
    <n v="245310"/>
    <n v="81612.75"/>
    <d v="2014-04-01T00:00:00"/>
    <x v="10"/>
    <x v="10"/>
    <x v="0"/>
  </r>
  <r>
    <x v="3"/>
    <x v="4"/>
    <x v="4"/>
    <s v="Low"/>
    <n v="727"/>
    <n v="250"/>
    <n v="125"/>
    <n v="90875"/>
    <n v="908.75"/>
    <n v="89966.25"/>
    <n v="87240"/>
    <n v="2726.25"/>
    <d v="2014-06-01T00:00:00"/>
    <x v="1"/>
    <x v="1"/>
    <x v="0"/>
  </r>
  <r>
    <x v="3"/>
    <x v="2"/>
    <x v="4"/>
    <s v="Low"/>
    <n v="787"/>
    <n v="250"/>
    <n v="125"/>
    <n v="98375"/>
    <n v="983.75"/>
    <n v="97391.25"/>
    <n v="94440"/>
    <n v="2951.25"/>
    <d v="2014-06-01T00:00:00"/>
    <x v="1"/>
    <x v="1"/>
    <x v="0"/>
  </r>
  <r>
    <x v="4"/>
    <x v="1"/>
    <x v="4"/>
    <s v="Low"/>
    <n v="986"/>
    <n v="250"/>
    <n v="300"/>
    <n v="295800"/>
    <n v="2958"/>
    <n v="292842"/>
    <n v="246500"/>
    <n v="46342"/>
    <d v="2014-09-01T00:00:00"/>
    <x v="6"/>
    <x v="6"/>
    <x v="0"/>
  </r>
  <r>
    <x v="4"/>
    <x v="3"/>
    <x v="4"/>
    <s v="Low"/>
    <n v="494"/>
    <n v="250"/>
    <n v="300"/>
    <n v="148200"/>
    <n v="1482"/>
    <n v="146718"/>
    <n v="123500"/>
    <n v="23218"/>
    <d v="2013-10-01T00:00:00"/>
    <x v="7"/>
    <x v="7"/>
    <x v="1"/>
  </r>
  <r>
    <x v="0"/>
    <x v="3"/>
    <x v="4"/>
    <s v="Low"/>
    <n v="1397"/>
    <n v="250"/>
    <n v="350"/>
    <n v="488950"/>
    <n v="4889.5"/>
    <n v="484060.5"/>
    <n v="363220"/>
    <n v="120840.5"/>
    <d v="2014-10-01T00:00:00"/>
    <x v="7"/>
    <x v="7"/>
    <x v="0"/>
  </r>
  <r>
    <x v="3"/>
    <x v="2"/>
    <x v="4"/>
    <s v="Low"/>
    <n v="1744"/>
    <n v="250"/>
    <n v="125"/>
    <n v="218000"/>
    <n v="2180"/>
    <n v="215820"/>
    <n v="209280"/>
    <n v="6540"/>
    <d v="2014-11-01T00:00:00"/>
    <x v="9"/>
    <x v="9"/>
    <x v="0"/>
  </r>
  <r>
    <x v="2"/>
    <x v="4"/>
    <x v="5"/>
    <s v="Low"/>
    <n v="1989"/>
    <n v="260"/>
    <n v="12"/>
    <n v="23868"/>
    <n v="238.68"/>
    <n v="23629.32"/>
    <n v="5967"/>
    <n v="17662.32"/>
    <d v="2013-09-01T00:00:00"/>
    <x v="6"/>
    <x v="6"/>
    <x v="1"/>
  </r>
  <r>
    <x v="1"/>
    <x v="2"/>
    <x v="5"/>
    <s v="Low"/>
    <n v="321"/>
    <n v="260"/>
    <n v="15"/>
    <n v="4815"/>
    <n v="48.15"/>
    <n v="4766.8500000000004"/>
    <n v="3210"/>
    <n v="1556.8500000000004"/>
    <d v="2013-11-01T00:00:00"/>
    <x v="9"/>
    <x v="9"/>
    <x v="1"/>
  </r>
  <r>
    <x v="3"/>
    <x v="0"/>
    <x v="0"/>
    <s v="Low"/>
    <n v="742.5"/>
    <n v="3"/>
    <n v="125"/>
    <n v="92812.5"/>
    <n v="1856.25"/>
    <n v="90956.25"/>
    <n v="89100"/>
    <n v="1856.25"/>
    <d v="2014-04-01T00:00:00"/>
    <x v="10"/>
    <x v="10"/>
    <x v="0"/>
  </r>
  <r>
    <x v="2"/>
    <x v="0"/>
    <x v="0"/>
    <s v="Low"/>
    <n v="1295"/>
    <n v="3"/>
    <n v="12"/>
    <n v="15540"/>
    <n v="310.8"/>
    <n v="15229.2"/>
    <n v="3885"/>
    <n v="11344.2"/>
    <d v="2014-10-01T00:00:00"/>
    <x v="7"/>
    <x v="7"/>
    <x v="0"/>
  </r>
  <r>
    <x v="4"/>
    <x v="1"/>
    <x v="0"/>
    <s v="Low"/>
    <n v="214"/>
    <n v="3"/>
    <n v="300"/>
    <n v="64200"/>
    <n v="1284"/>
    <n v="62916"/>
    <n v="53500"/>
    <n v="9416"/>
    <d v="2013-10-01T00:00:00"/>
    <x v="7"/>
    <x v="7"/>
    <x v="1"/>
  </r>
  <r>
    <x v="0"/>
    <x v="2"/>
    <x v="0"/>
    <s v="Low"/>
    <n v="2145"/>
    <n v="3"/>
    <n v="7"/>
    <n v="15015"/>
    <n v="300.3"/>
    <n v="14714.7"/>
    <n v="10725"/>
    <n v="3989.7000000000007"/>
    <d v="2013-11-01T00:00:00"/>
    <x v="9"/>
    <x v="9"/>
    <x v="1"/>
  </r>
  <r>
    <x v="0"/>
    <x v="0"/>
    <x v="0"/>
    <s v="Low"/>
    <n v="2852"/>
    <n v="3"/>
    <n v="350"/>
    <n v="998200"/>
    <n v="19964"/>
    <n v="978236"/>
    <n v="741520"/>
    <n v="236716"/>
    <d v="2014-12-01T00:00:00"/>
    <x v="2"/>
    <x v="2"/>
    <x v="0"/>
  </r>
  <r>
    <x v="2"/>
    <x v="4"/>
    <x v="1"/>
    <s v="Low"/>
    <n v="1142"/>
    <n v="5"/>
    <n v="12"/>
    <n v="13704"/>
    <n v="274.08"/>
    <n v="13429.92"/>
    <n v="3426"/>
    <n v="10003.92"/>
    <d v="2014-06-01T00:00:00"/>
    <x v="1"/>
    <x v="1"/>
    <x v="0"/>
  </r>
  <r>
    <x v="0"/>
    <x v="4"/>
    <x v="1"/>
    <s v="Low"/>
    <n v="1566"/>
    <n v="5"/>
    <n v="20"/>
    <n v="31320"/>
    <n v="626.4"/>
    <n v="30693.599999999999"/>
    <n v="15660"/>
    <n v="15033.599999999999"/>
    <d v="2014-10-01T00:00:00"/>
    <x v="7"/>
    <x v="7"/>
    <x v="0"/>
  </r>
  <r>
    <x v="2"/>
    <x v="3"/>
    <x v="1"/>
    <s v="Low"/>
    <n v="690"/>
    <n v="5"/>
    <n v="12"/>
    <n v="8280"/>
    <n v="165.6"/>
    <n v="8114.4"/>
    <n v="2070"/>
    <n v="6044.4"/>
    <d v="2014-11-01T00:00:00"/>
    <x v="9"/>
    <x v="9"/>
    <x v="0"/>
  </r>
  <r>
    <x v="3"/>
    <x v="3"/>
    <x v="1"/>
    <s v="Low"/>
    <n v="1660"/>
    <n v="5"/>
    <n v="125"/>
    <n v="207500"/>
    <n v="4150"/>
    <n v="203350"/>
    <n v="199200"/>
    <n v="4150"/>
    <d v="2013-11-01T00:00:00"/>
    <x v="9"/>
    <x v="9"/>
    <x v="1"/>
  </r>
  <r>
    <x v="1"/>
    <x v="0"/>
    <x v="2"/>
    <s v="Low"/>
    <n v="2363"/>
    <n v="10"/>
    <n v="15"/>
    <n v="35445"/>
    <n v="708.9"/>
    <n v="34736.1"/>
    <n v="23630"/>
    <n v="11106.099999999999"/>
    <d v="2014-02-01T00:00:00"/>
    <x v="8"/>
    <x v="8"/>
    <x v="0"/>
  </r>
  <r>
    <x v="4"/>
    <x v="2"/>
    <x v="2"/>
    <s v="Low"/>
    <n v="918"/>
    <n v="10"/>
    <n v="300"/>
    <n v="275400"/>
    <n v="5508"/>
    <n v="269892"/>
    <n v="229500"/>
    <n v="40392"/>
    <d v="2014-05-01T00:00:00"/>
    <x v="11"/>
    <x v="11"/>
    <x v="0"/>
  </r>
  <r>
    <x v="4"/>
    <x v="1"/>
    <x v="2"/>
    <s v="Low"/>
    <n v="1728"/>
    <n v="10"/>
    <n v="300"/>
    <n v="518400"/>
    <n v="10368"/>
    <n v="508032"/>
    <n v="432000"/>
    <n v="76032"/>
    <d v="2014-05-01T00:00:00"/>
    <x v="11"/>
    <x v="11"/>
    <x v="0"/>
  </r>
  <r>
    <x v="2"/>
    <x v="4"/>
    <x v="2"/>
    <s v="Low"/>
    <n v="1142"/>
    <n v="10"/>
    <n v="12"/>
    <n v="13704"/>
    <n v="274.08"/>
    <n v="13429.92"/>
    <n v="3426"/>
    <n v="10003.92"/>
    <d v="2014-06-01T00:00:00"/>
    <x v="1"/>
    <x v="1"/>
    <x v="0"/>
  </r>
  <r>
    <x v="3"/>
    <x v="3"/>
    <x v="2"/>
    <s v="Low"/>
    <n v="662"/>
    <n v="10"/>
    <n v="125"/>
    <n v="82750"/>
    <n v="1655"/>
    <n v="81095"/>
    <n v="79440"/>
    <n v="1655"/>
    <d v="2014-06-01T00:00:00"/>
    <x v="1"/>
    <x v="1"/>
    <x v="0"/>
  </r>
  <r>
    <x v="2"/>
    <x v="0"/>
    <x v="2"/>
    <s v="Low"/>
    <n v="1295"/>
    <n v="10"/>
    <n v="12"/>
    <n v="15540"/>
    <n v="310.8"/>
    <n v="15229.2"/>
    <n v="3885"/>
    <n v="11344.2"/>
    <d v="2014-10-01T00:00:00"/>
    <x v="7"/>
    <x v="7"/>
    <x v="0"/>
  </r>
  <r>
    <x v="3"/>
    <x v="1"/>
    <x v="2"/>
    <s v="Low"/>
    <n v="809"/>
    <n v="10"/>
    <n v="125"/>
    <n v="101125"/>
    <n v="2022.5"/>
    <n v="99102.5"/>
    <n v="97080"/>
    <n v="2022.5"/>
    <d v="2013-10-01T00:00:00"/>
    <x v="7"/>
    <x v="7"/>
    <x v="1"/>
  </r>
  <r>
    <x v="3"/>
    <x v="3"/>
    <x v="2"/>
    <s v="Low"/>
    <n v="2145"/>
    <n v="10"/>
    <n v="125"/>
    <n v="268125"/>
    <n v="5362.5"/>
    <n v="262762.5"/>
    <n v="257400"/>
    <n v="5362.5"/>
    <d v="2013-10-01T00:00:00"/>
    <x v="7"/>
    <x v="7"/>
    <x v="1"/>
  </r>
  <r>
    <x v="2"/>
    <x v="2"/>
    <x v="2"/>
    <s v="Low"/>
    <n v="1785"/>
    <n v="10"/>
    <n v="12"/>
    <n v="21420"/>
    <n v="428.4"/>
    <n v="20991.599999999999"/>
    <n v="5355"/>
    <n v="15636.599999999999"/>
    <d v="2013-11-01T00:00:00"/>
    <x v="9"/>
    <x v="9"/>
    <x v="1"/>
  </r>
  <r>
    <x v="4"/>
    <x v="0"/>
    <x v="2"/>
    <s v="Low"/>
    <n v="1916"/>
    <n v="10"/>
    <n v="300"/>
    <n v="574800"/>
    <n v="11496"/>
    <n v="563304"/>
    <n v="479000"/>
    <n v="84304"/>
    <d v="2014-12-01T00:00:00"/>
    <x v="2"/>
    <x v="2"/>
    <x v="0"/>
  </r>
  <r>
    <x v="0"/>
    <x v="0"/>
    <x v="2"/>
    <s v="Low"/>
    <n v="2852"/>
    <n v="10"/>
    <n v="350"/>
    <n v="998200"/>
    <n v="19964"/>
    <n v="978236"/>
    <n v="741520"/>
    <n v="236716"/>
    <d v="2014-12-01T00:00:00"/>
    <x v="2"/>
    <x v="2"/>
    <x v="0"/>
  </r>
  <r>
    <x v="3"/>
    <x v="0"/>
    <x v="2"/>
    <s v="Low"/>
    <n v="2729"/>
    <n v="10"/>
    <n v="125"/>
    <n v="341125"/>
    <n v="6822.5"/>
    <n v="334302.5"/>
    <n v="327480"/>
    <n v="6822.5"/>
    <d v="2014-12-01T00:00:00"/>
    <x v="2"/>
    <x v="2"/>
    <x v="0"/>
  </r>
  <r>
    <x v="1"/>
    <x v="4"/>
    <x v="2"/>
    <s v="Low"/>
    <n v="1925"/>
    <n v="10"/>
    <n v="15"/>
    <n v="28875"/>
    <n v="577.5"/>
    <n v="28297.5"/>
    <n v="19250"/>
    <n v="9047.5"/>
    <d v="2013-12-01T00:00:00"/>
    <x v="2"/>
    <x v="2"/>
    <x v="1"/>
  </r>
  <r>
    <x v="0"/>
    <x v="4"/>
    <x v="2"/>
    <s v="Low"/>
    <n v="2013"/>
    <n v="10"/>
    <n v="7"/>
    <n v="14091"/>
    <n v="281.82"/>
    <n v="13809.18"/>
    <n v="10065"/>
    <n v="3744.1800000000003"/>
    <d v="2013-12-01T00:00:00"/>
    <x v="2"/>
    <x v="2"/>
    <x v="1"/>
  </r>
  <r>
    <x v="2"/>
    <x v="2"/>
    <x v="2"/>
    <s v="Low"/>
    <n v="1055"/>
    <n v="10"/>
    <n v="12"/>
    <n v="12660"/>
    <n v="253.2"/>
    <n v="12406.8"/>
    <n v="3165"/>
    <n v="9241.7999999999993"/>
    <d v="2014-12-01T00:00:00"/>
    <x v="2"/>
    <x v="2"/>
    <x v="0"/>
  </r>
  <r>
    <x v="2"/>
    <x v="3"/>
    <x v="2"/>
    <s v="Low"/>
    <n v="1084"/>
    <n v="10"/>
    <n v="12"/>
    <n v="13008"/>
    <n v="260.16000000000003"/>
    <n v="12747.84"/>
    <n v="3252"/>
    <n v="9495.84"/>
    <d v="2014-12-01T00:00:00"/>
    <x v="2"/>
    <x v="2"/>
    <x v="0"/>
  </r>
  <r>
    <x v="0"/>
    <x v="4"/>
    <x v="3"/>
    <s v="Low"/>
    <n v="1566"/>
    <n v="120"/>
    <n v="20"/>
    <n v="31320"/>
    <n v="626.4"/>
    <n v="30693.599999999999"/>
    <n v="15660"/>
    <n v="15033.599999999999"/>
    <d v="2014-10-01T00:00:00"/>
    <x v="7"/>
    <x v="7"/>
    <x v="0"/>
  </r>
  <r>
    <x v="0"/>
    <x v="1"/>
    <x v="3"/>
    <s v="Low"/>
    <n v="2966"/>
    <n v="120"/>
    <n v="350"/>
    <n v="1038100"/>
    <n v="20762"/>
    <n v="1017338"/>
    <n v="771160"/>
    <n v="246178"/>
    <d v="2013-10-01T00:00:00"/>
    <x v="7"/>
    <x v="7"/>
    <x v="1"/>
  </r>
  <r>
    <x v="0"/>
    <x v="1"/>
    <x v="3"/>
    <s v="Low"/>
    <n v="2877"/>
    <n v="120"/>
    <n v="350"/>
    <n v="1006950"/>
    <n v="20139"/>
    <n v="986811"/>
    <n v="748020"/>
    <n v="238791"/>
    <d v="2014-10-01T00:00:00"/>
    <x v="7"/>
    <x v="7"/>
    <x v="0"/>
  </r>
  <r>
    <x v="3"/>
    <x v="1"/>
    <x v="3"/>
    <s v="Low"/>
    <n v="809"/>
    <n v="120"/>
    <n v="125"/>
    <n v="101125"/>
    <n v="2022.5"/>
    <n v="99102.5"/>
    <n v="97080"/>
    <n v="2022.5"/>
    <d v="2013-10-01T00:00:00"/>
    <x v="7"/>
    <x v="7"/>
    <x v="1"/>
  </r>
  <r>
    <x v="3"/>
    <x v="3"/>
    <x v="3"/>
    <s v="Low"/>
    <n v="2145"/>
    <n v="120"/>
    <n v="125"/>
    <n v="268125"/>
    <n v="5362.5"/>
    <n v="262762.5"/>
    <n v="257400"/>
    <n v="5362.5"/>
    <d v="2013-10-01T00:00:00"/>
    <x v="7"/>
    <x v="7"/>
    <x v="1"/>
  </r>
  <r>
    <x v="2"/>
    <x v="2"/>
    <x v="3"/>
    <s v="Low"/>
    <n v="1055"/>
    <n v="120"/>
    <n v="12"/>
    <n v="12660"/>
    <n v="253.2"/>
    <n v="12406.8"/>
    <n v="3165"/>
    <n v="9241.7999999999993"/>
    <d v="2014-12-01T00:00:00"/>
    <x v="2"/>
    <x v="2"/>
    <x v="0"/>
  </r>
  <r>
    <x v="0"/>
    <x v="3"/>
    <x v="3"/>
    <s v="Low"/>
    <n v="544"/>
    <n v="120"/>
    <n v="20"/>
    <n v="10880"/>
    <n v="217.6"/>
    <n v="10662.4"/>
    <n v="5440"/>
    <n v="5222.3999999999996"/>
    <d v="2013-12-01T00:00:00"/>
    <x v="2"/>
    <x v="2"/>
    <x v="1"/>
  </r>
  <r>
    <x v="2"/>
    <x v="3"/>
    <x v="3"/>
    <s v="Low"/>
    <n v="1084"/>
    <n v="120"/>
    <n v="12"/>
    <n v="13008"/>
    <n v="260.16000000000003"/>
    <n v="12747.84"/>
    <n v="3252"/>
    <n v="9495.84"/>
    <d v="2014-12-01T00:00:00"/>
    <x v="2"/>
    <x v="2"/>
    <x v="0"/>
  </r>
  <r>
    <x v="3"/>
    <x v="3"/>
    <x v="4"/>
    <s v="Low"/>
    <n v="662"/>
    <n v="250"/>
    <n v="125"/>
    <n v="82750"/>
    <n v="1655"/>
    <n v="81095"/>
    <n v="79440"/>
    <n v="1655"/>
    <d v="2014-06-01T00:00:00"/>
    <x v="1"/>
    <x v="1"/>
    <x v="0"/>
  </r>
  <r>
    <x v="4"/>
    <x v="1"/>
    <x v="4"/>
    <s v="Low"/>
    <n v="214"/>
    <n v="250"/>
    <n v="300"/>
    <n v="64200"/>
    <n v="1284"/>
    <n v="62916"/>
    <n v="53500"/>
    <n v="9416"/>
    <d v="2013-10-01T00:00:00"/>
    <x v="7"/>
    <x v="7"/>
    <x v="1"/>
  </r>
  <r>
    <x v="0"/>
    <x v="1"/>
    <x v="4"/>
    <s v="Low"/>
    <n v="2877"/>
    <n v="250"/>
    <n v="350"/>
    <n v="1006950"/>
    <n v="20139"/>
    <n v="986811"/>
    <n v="748020"/>
    <n v="238791"/>
    <d v="2014-10-01T00:00:00"/>
    <x v="7"/>
    <x v="7"/>
    <x v="0"/>
  </r>
  <r>
    <x v="3"/>
    <x v="0"/>
    <x v="4"/>
    <s v="Low"/>
    <n v="2729"/>
    <n v="250"/>
    <n v="125"/>
    <n v="341125"/>
    <n v="6822.5"/>
    <n v="334302.5"/>
    <n v="327480"/>
    <n v="6822.5"/>
    <d v="2014-12-01T00:00:00"/>
    <x v="2"/>
    <x v="2"/>
    <x v="0"/>
  </r>
  <r>
    <x v="0"/>
    <x v="4"/>
    <x v="4"/>
    <s v="Low"/>
    <n v="266"/>
    <n v="250"/>
    <n v="350"/>
    <n v="93100"/>
    <n v="1862"/>
    <n v="91238"/>
    <n v="69160"/>
    <n v="22078"/>
    <d v="2013-12-01T00:00:00"/>
    <x v="2"/>
    <x v="2"/>
    <x v="1"/>
  </r>
  <r>
    <x v="0"/>
    <x v="3"/>
    <x v="4"/>
    <s v="Low"/>
    <n v="1940"/>
    <n v="250"/>
    <n v="350"/>
    <n v="679000"/>
    <n v="13580"/>
    <n v="665420"/>
    <n v="504400"/>
    <n v="161020"/>
    <d v="2013-12-01T00:00:00"/>
    <x v="2"/>
    <x v="2"/>
    <x v="1"/>
  </r>
  <r>
    <x v="4"/>
    <x v="1"/>
    <x v="5"/>
    <s v="Low"/>
    <n v="259"/>
    <n v="260"/>
    <n v="300"/>
    <n v="77700"/>
    <n v="1554"/>
    <n v="76146"/>
    <n v="64750"/>
    <n v="11396"/>
    <d v="2014-03-01T00:00:00"/>
    <x v="3"/>
    <x v="3"/>
    <x v="0"/>
  </r>
  <r>
    <x v="4"/>
    <x v="3"/>
    <x v="5"/>
    <s v="Low"/>
    <n v="1101"/>
    <n v="260"/>
    <n v="300"/>
    <n v="330300"/>
    <n v="6606"/>
    <n v="323694"/>
    <n v="275250"/>
    <n v="48444"/>
    <d v="2014-03-01T00:00:00"/>
    <x v="3"/>
    <x v="3"/>
    <x v="0"/>
  </r>
  <r>
    <x v="3"/>
    <x v="1"/>
    <x v="5"/>
    <s v="Low"/>
    <n v="2276"/>
    <n v="260"/>
    <n v="125"/>
    <n v="284500"/>
    <n v="5690"/>
    <n v="278810"/>
    <n v="273120"/>
    <n v="5690"/>
    <d v="2014-05-01T00:00:00"/>
    <x v="11"/>
    <x v="11"/>
    <x v="0"/>
  </r>
  <r>
    <x v="0"/>
    <x v="1"/>
    <x v="5"/>
    <s v="Low"/>
    <n v="2966"/>
    <n v="260"/>
    <n v="350"/>
    <n v="1038100"/>
    <n v="20762"/>
    <n v="1017338"/>
    <n v="771160"/>
    <n v="246178"/>
    <d v="2013-10-01T00:00:00"/>
    <x v="7"/>
    <x v="7"/>
    <x v="1"/>
  </r>
  <r>
    <x v="0"/>
    <x v="4"/>
    <x v="5"/>
    <s v="Low"/>
    <n v="1236"/>
    <n v="260"/>
    <n v="20"/>
    <n v="24720"/>
    <n v="494.4"/>
    <n v="24225.599999999999"/>
    <n v="12360"/>
    <n v="11865.599999999999"/>
    <d v="2014-11-01T00:00:00"/>
    <x v="9"/>
    <x v="9"/>
    <x v="0"/>
  </r>
  <r>
    <x v="0"/>
    <x v="2"/>
    <x v="5"/>
    <s v="Low"/>
    <n v="941"/>
    <n v="260"/>
    <n v="20"/>
    <n v="18820"/>
    <n v="376.4"/>
    <n v="18443.599999999999"/>
    <n v="9410"/>
    <n v="9033.5999999999985"/>
    <d v="2014-11-01T00:00:00"/>
    <x v="9"/>
    <x v="9"/>
    <x v="0"/>
  </r>
  <r>
    <x v="4"/>
    <x v="0"/>
    <x v="5"/>
    <s v="Low"/>
    <n v="1916"/>
    <n v="260"/>
    <n v="300"/>
    <n v="574800"/>
    <n v="11496"/>
    <n v="563304"/>
    <n v="479000"/>
    <n v="84304"/>
    <d v="2014-12-01T00:00:00"/>
    <x v="2"/>
    <x v="2"/>
    <x v="0"/>
  </r>
  <r>
    <x v="3"/>
    <x v="2"/>
    <x v="0"/>
    <s v="Low"/>
    <n v="4243.5"/>
    <n v="3"/>
    <n v="125"/>
    <n v="530437.5"/>
    <n v="15913.125"/>
    <n v="514524.375"/>
    <n v="509220"/>
    <n v="5304.375"/>
    <d v="2014-04-01T00:00:00"/>
    <x v="10"/>
    <x v="10"/>
    <x v="0"/>
  </r>
  <r>
    <x v="0"/>
    <x v="1"/>
    <x v="0"/>
    <s v="Low"/>
    <n v="2580"/>
    <n v="3"/>
    <n v="20"/>
    <n v="51600"/>
    <n v="1548"/>
    <n v="50052"/>
    <n v="25800"/>
    <n v="24252"/>
    <d v="2014-04-01T00:00:00"/>
    <x v="10"/>
    <x v="10"/>
    <x v="0"/>
  </r>
  <r>
    <x v="4"/>
    <x v="1"/>
    <x v="0"/>
    <s v="Low"/>
    <n v="689"/>
    <n v="3"/>
    <n v="300"/>
    <n v="206700"/>
    <n v="6201"/>
    <n v="200499"/>
    <n v="172250"/>
    <n v="28249"/>
    <d v="2014-06-01T00:00:00"/>
    <x v="1"/>
    <x v="1"/>
    <x v="0"/>
  </r>
  <r>
    <x v="2"/>
    <x v="4"/>
    <x v="0"/>
    <s v="Low"/>
    <n v="1947"/>
    <n v="3"/>
    <n v="12"/>
    <n v="23364"/>
    <n v="700.92"/>
    <n v="22663.08"/>
    <n v="5841"/>
    <n v="16822.080000000002"/>
    <d v="2014-09-01T00:00:00"/>
    <x v="6"/>
    <x v="6"/>
    <x v="0"/>
  </r>
  <r>
    <x v="2"/>
    <x v="0"/>
    <x v="0"/>
    <s v="Low"/>
    <n v="908"/>
    <n v="3"/>
    <n v="12"/>
    <n v="10896"/>
    <n v="326.88"/>
    <n v="10569.12"/>
    <n v="2724"/>
    <n v="7845.1200000000008"/>
    <d v="2013-12-01T00:00:00"/>
    <x v="2"/>
    <x v="2"/>
    <x v="1"/>
  </r>
  <r>
    <x v="0"/>
    <x v="1"/>
    <x v="1"/>
    <s v="Low"/>
    <n v="1958"/>
    <n v="5"/>
    <n v="7"/>
    <n v="13706"/>
    <n v="411.18"/>
    <n v="13294.82"/>
    <n v="9790"/>
    <n v="3504.8199999999997"/>
    <d v="2014-02-01T00:00:00"/>
    <x v="8"/>
    <x v="8"/>
    <x v="0"/>
  </r>
  <r>
    <x v="2"/>
    <x v="2"/>
    <x v="1"/>
    <s v="Low"/>
    <n v="1901"/>
    <n v="5"/>
    <n v="12"/>
    <n v="22812"/>
    <n v="684.36"/>
    <n v="22127.64"/>
    <n v="5703"/>
    <n v="16424.64"/>
    <d v="2014-06-01T00:00:00"/>
    <x v="1"/>
    <x v="1"/>
    <x v="0"/>
  </r>
  <r>
    <x v="0"/>
    <x v="2"/>
    <x v="1"/>
    <s v="Low"/>
    <n v="544"/>
    <n v="5"/>
    <n v="7"/>
    <n v="3808"/>
    <n v="114.24"/>
    <n v="3693.76"/>
    <n v="2720"/>
    <n v="973.76000000000022"/>
    <d v="2014-09-01T00:00:00"/>
    <x v="6"/>
    <x v="6"/>
    <x v="0"/>
  </r>
  <r>
    <x v="0"/>
    <x v="1"/>
    <x v="1"/>
    <s v="Low"/>
    <n v="1797"/>
    <n v="5"/>
    <n v="350"/>
    <n v="628950"/>
    <n v="18868.5"/>
    <n v="610081.5"/>
    <n v="467220"/>
    <n v="142861.5"/>
    <d v="2013-09-01T00:00:00"/>
    <x v="6"/>
    <x v="6"/>
    <x v="1"/>
  </r>
  <r>
    <x v="3"/>
    <x v="2"/>
    <x v="1"/>
    <s v="Low"/>
    <n v="1287"/>
    <n v="5"/>
    <n v="125"/>
    <n v="160875"/>
    <n v="4826.25"/>
    <n v="156048.75"/>
    <n v="154440"/>
    <n v="1608.75"/>
    <d v="2014-12-01T00:00:00"/>
    <x v="2"/>
    <x v="2"/>
    <x v="0"/>
  </r>
  <r>
    <x v="3"/>
    <x v="1"/>
    <x v="1"/>
    <s v="Low"/>
    <n v="1706"/>
    <n v="5"/>
    <n v="125"/>
    <n v="213250"/>
    <n v="6397.5"/>
    <n v="206852.5"/>
    <n v="204720"/>
    <n v="2132.5"/>
    <d v="2014-12-01T00:00:00"/>
    <x v="2"/>
    <x v="2"/>
    <x v="0"/>
  </r>
  <r>
    <x v="4"/>
    <x v="2"/>
    <x v="2"/>
    <s v="Low"/>
    <n v="2434.5"/>
    <n v="10"/>
    <n v="300"/>
    <n v="730350"/>
    <n v="21910.5"/>
    <n v="708439.5"/>
    <n v="608625"/>
    <n v="99814.5"/>
    <d v="2014-01-01T00:00:00"/>
    <x v="0"/>
    <x v="0"/>
    <x v="0"/>
  </r>
  <r>
    <x v="3"/>
    <x v="0"/>
    <x v="2"/>
    <s v="Low"/>
    <n v="1774"/>
    <n v="10"/>
    <n v="125"/>
    <n v="221750"/>
    <n v="6652.5"/>
    <n v="215097.5"/>
    <n v="212880"/>
    <n v="2217.5"/>
    <d v="2014-03-01T00:00:00"/>
    <x v="3"/>
    <x v="3"/>
    <x v="0"/>
  </r>
  <r>
    <x v="2"/>
    <x v="2"/>
    <x v="2"/>
    <s v="Low"/>
    <n v="1901"/>
    <n v="10"/>
    <n v="12"/>
    <n v="22812"/>
    <n v="684.36"/>
    <n v="22127.64"/>
    <n v="5703"/>
    <n v="16424.64"/>
    <d v="2014-06-01T00:00:00"/>
    <x v="1"/>
    <x v="1"/>
    <x v="0"/>
  </r>
  <r>
    <x v="4"/>
    <x v="1"/>
    <x v="2"/>
    <s v="Low"/>
    <n v="689"/>
    <n v="10"/>
    <n v="300"/>
    <n v="206700"/>
    <n v="6201"/>
    <n v="200499"/>
    <n v="172250"/>
    <n v="28249"/>
    <d v="2014-06-01T00:00:00"/>
    <x v="1"/>
    <x v="1"/>
    <x v="0"/>
  </r>
  <r>
    <x v="3"/>
    <x v="1"/>
    <x v="2"/>
    <s v="Low"/>
    <n v="1570"/>
    <n v="10"/>
    <n v="125"/>
    <n v="196250"/>
    <n v="5887.5"/>
    <n v="190362.5"/>
    <n v="188400"/>
    <n v="1962.5"/>
    <d v="2014-06-01T00:00:00"/>
    <x v="1"/>
    <x v="1"/>
    <x v="0"/>
  </r>
  <r>
    <x v="2"/>
    <x v="4"/>
    <x v="2"/>
    <s v="Low"/>
    <n v="1369.5"/>
    <n v="10"/>
    <n v="12"/>
    <n v="16434"/>
    <n v="493.02"/>
    <n v="15940.98"/>
    <n v="4108.5"/>
    <n v="11832.48"/>
    <d v="2014-07-01T00:00:00"/>
    <x v="4"/>
    <x v="4"/>
    <x v="0"/>
  </r>
  <r>
    <x v="3"/>
    <x v="0"/>
    <x v="2"/>
    <s v="Low"/>
    <n v="2009"/>
    <n v="10"/>
    <n v="125"/>
    <n v="251125"/>
    <n v="7533.75"/>
    <n v="243591.25"/>
    <n v="241080"/>
    <n v="2511.25"/>
    <d v="2014-10-01T00:00:00"/>
    <x v="7"/>
    <x v="7"/>
    <x v="0"/>
  </r>
  <r>
    <x v="1"/>
    <x v="1"/>
    <x v="2"/>
    <s v="Low"/>
    <n v="1945"/>
    <n v="10"/>
    <n v="15"/>
    <n v="29175"/>
    <n v="875.25"/>
    <n v="28299.75"/>
    <n v="19450"/>
    <n v="8849.75"/>
    <d v="2013-10-01T00:00:00"/>
    <x v="7"/>
    <x v="7"/>
    <x v="1"/>
  </r>
  <r>
    <x v="3"/>
    <x v="2"/>
    <x v="2"/>
    <s v="Low"/>
    <n v="1287"/>
    <n v="10"/>
    <n v="125"/>
    <n v="160875"/>
    <n v="4826.25"/>
    <n v="156048.75"/>
    <n v="154440"/>
    <n v="1608.75"/>
    <d v="2014-12-01T00:00:00"/>
    <x v="2"/>
    <x v="2"/>
    <x v="0"/>
  </r>
  <r>
    <x v="3"/>
    <x v="1"/>
    <x v="2"/>
    <s v="Low"/>
    <n v="1706"/>
    <n v="10"/>
    <n v="125"/>
    <n v="213250"/>
    <n v="6397.5"/>
    <n v="206852.5"/>
    <n v="204720"/>
    <n v="2132.5"/>
    <d v="2014-12-01T00:00:00"/>
    <x v="2"/>
    <x v="2"/>
    <x v="0"/>
  </r>
  <r>
    <x v="3"/>
    <x v="0"/>
    <x v="3"/>
    <s v="Low"/>
    <n v="2009"/>
    <n v="120"/>
    <n v="125"/>
    <n v="251125"/>
    <n v="7533.75"/>
    <n v="243591.25"/>
    <n v="241080"/>
    <n v="2511.25"/>
    <d v="2014-10-01T00:00:00"/>
    <x v="7"/>
    <x v="7"/>
    <x v="0"/>
  </r>
  <r>
    <x v="4"/>
    <x v="4"/>
    <x v="4"/>
    <s v="Low"/>
    <n v="2844"/>
    <n v="250"/>
    <n v="300"/>
    <n v="853200"/>
    <n v="25596"/>
    <n v="827604"/>
    <n v="711000"/>
    <n v="116604"/>
    <d v="2014-02-01T00:00:00"/>
    <x v="8"/>
    <x v="8"/>
    <x v="0"/>
  </r>
  <r>
    <x v="2"/>
    <x v="3"/>
    <x v="4"/>
    <s v="Low"/>
    <n v="1916"/>
    <n v="250"/>
    <n v="12"/>
    <n v="22992"/>
    <n v="689.76"/>
    <n v="22302.240000000002"/>
    <n v="5748"/>
    <n v="16554.240000000002"/>
    <d v="2014-04-01T00:00:00"/>
    <x v="10"/>
    <x v="10"/>
    <x v="0"/>
  </r>
  <r>
    <x v="3"/>
    <x v="1"/>
    <x v="4"/>
    <s v="Low"/>
    <n v="1570"/>
    <n v="250"/>
    <n v="125"/>
    <n v="196250"/>
    <n v="5887.5"/>
    <n v="190362.5"/>
    <n v="188400"/>
    <n v="1962.5"/>
    <d v="2014-06-01T00:00:00"/>
    <x v="1"/>
    <x v="1"/>
    <x v="0"/>
  </r>
  <r>
    <x v="4"/>
    <x v="0"/>
    <x v="4"/>
    <s v="Low"/>
    <n v="1874"/>
    <n v="250"/>
    <n v="300"/>
    <n v="562200"/>
    <n v="16866"/>
    <n v="545334"/>
    <n v="468500"/>
    <n v="76834"/>
    <d v="2014-08-01T00:00:00"/>
    <x v="5"/>
    <x v="5"/>
    <x v="0"/>
  </r>
  <r>
    <x v="0"/>
    <x v="3"/>
    <x v="4"/>
    <s v="Low"/>
    <n v="1642"/>
    <n v="250"/>
    <n v="350"/>
    <n v="574700"/>
    <n v="17241"/>
    <n v="557459"/>
    <n v="426920"/>
    <n v="130539"/>
    <d v="2014-08-01T00:00:00"/>
    <x v="5"/>
    <x v="5"/>
    <x v="0"/>
  </r>
  <r>
    <x v="1"/>
    <x v="1"/>
    <x v="4"/>
    <s v="Low"/>
    <n v="1945"/>
    <n v="250"/>
    <n v="15"/>
    <n v="29175"/>
    <n v="875.25"/>
    <n v="28299.75"/>
    <n v="19450"/>
    <n v="8849.75"/>
    <d v="2013-10-01T00:00:00"/>
    <x v="7"/>
    <x v="7"/>
    <x v="1"/>
  </r>
  <r>
    <x v="0"/>
    <x v="0"/>
    <x v="0"/>
    <s v="Low"/>
    <n v="831"/>
    <n v="3"/>
    <n v="20"/>
    <n v="16620"/>
    <n v="498.6"/>
    <n v="16121.4"/>
    <n v="8310"/>
    <n v="7811.4"/>
    <d v="2014-05-01T00:00:00"/>
    <x v="11"/>
    <x v="11"/>
    <x v="0"/>
  </r>
  <r>
    <x v="0"/>
    <x v="3"/>
    <x v="2"/>
    <s v="Low"/>
    <n v="1760"/>
    <n v="10"/>
    <n v="7"/>
    <n v="12320"/>
    <n v="369.6"/>
    <n v="11950.4"/>
    <n v="8800"/>
    <n v="3150.3999999999996"/>
    <d v="2013-09-01T00:00:00"/>
    <x v="6"/>
    <x v="6"/>
    <x v="1"/>
  </r>
  <r>
    <x v="0"/>
    <x v="0"/>
    <x v="3"/>
    <s v="Low"/>
    <n v="3850.5"/>
    <n v="120"/>
    <n v="20"/>
    <n v="77010"/>
    <n v="2310.3000000000002"/>
    <n v="74699.700000000012"/>
    <n v="38505"/>
    <n v="36194.700000000004"/>
    <d v="2014-04-01T00:00:00"/>
    <x v="10"/>
    <x v="10"/>
    <x v="0"/>
  </r>
  <r>
    <x v="2"/>
    <x v="1"/>
    <x v="4"/>
    <s v="Low"/>
    <n v="2479"/>
    <n v="250"/>
    <n v="12"/>
    <n v="29748"/>
    <n v="892.44"/>
    <n v="28855.56"/>
    <n v="7437"/>
    <n v="21418.560000000001"/>
    <d v="2014-01-01T00:00:00"/>
    <x v="0"/>
    <x v="0"/>
    <x v="0"/>
  </r>
  <r>
    <x v="1"/>
    <x v="3"/>
    <x v="1"/>
    <s v="Low"/>
    <n v="2031"/>
    <n v="5"/>
    <n v="15"/>
    <n v="30465"/>
    <n v="1218.5999999999999"/>
    <n v="29246.400000000001"/>
    <n v="20310"/>
    <n v="8936.4000000000015"/>
    <d v="2014-10-01T00:00:00"/>
    <x v="7"/>
    <x v="7"/>
    <x v="0"/>
  </r>
  <r>
    <x v="1"/>
    <x v="3"/>
    <x v="2"/>
    <s v="Low"/>
    <n v="2031"/>
    <n v="10"/>
    <n v="15"/>
    <n v="30465"/>
    <n v="1218.5999999999999"/>
    <n v="29246.400000000001"/>
    <n v="20310"/>
    <n v="8936.4000000000015"/>
    <d v="2014-10-01T00:00:00"/>
    <x v="7"/>
    <x v="7"/>
    <x v="0"/>
  </r>
  <r>
    <x v="1"/>
    <x v="2"/>
    <x v="2"/>
    <s v="Low"/>
    <n v="2261"/>
    <n v="10"/>
    <n v="15"/>
    <n v="33915"/>
    <n v="1356.6"/>
    <n v="32558.400000000001"/>
    <n v="22610"/>
    <n v="9948.4000000000015"/>
    <d v="2013-12-01T00:00:00"/>
    <x v="2"/>
    <x v="2"/>
    <x v="1"/>
  </r>
  <r>
    <x v="0"/>
    <x v="4"/>
    <x v="3"/>
    <s v="Low"/>
    <n v="736"/>
    <n v="120"/>
    <n v="20"/>
    <n v="14720"/>
    <n v="588.79999999999995"/>
    <n v="14131.2"/>
    <n v="7360"/>
    <n v="6771.2000000000007"/>
    <d v="2013-09-01T00:00:00"/>
    <x v="6"/>
    <x v="6"/>
    <x v="1"/>
  </r>
  <r>
    <x v="0"/>
    <x v="0"/>
    <x v="0"/>
    <s v="Low"/>
    <n v="2851"/>
    <n v="3"/>
    <n v="7"/>
    <n v="19957"/>
    <n v="798.28"/>
    <n v="19158.72"/>
    <n v="14255"/>
    <n v="4903.7200000000012"/>
    <d v="2013-10-01T00:00:00"/>
    <x v="7"/>
    <x v="7"/>
    <x v="1"/>
  </r>
  <r>
    <x v="4"/>
    <x v="1"/>
    <x v="0"/>
    <s v="Low"/>
    <n v="2021"/>
    <n v="3"/>
    <n v="300"/>
    <n v="606300"/>
    <n v="24252"/>
    <n v="582048"/>
    <n v="505250"/>
    <n v="76798"/>
    <d v="2014-10-01T00:00:00"/>
    <x v="7"/>
    <x v="7"/>
    <x v="0"/>
  </r>
  <r>
    <x v="0"/>
    <x v="4"/>
    <x v="0"/>
    <s v="Low"/>
    <n v="274"/>
    <n v="3"/>
    <n v="350"/>
    <n v="95900"/>
    <n v="3836"/>
    <n v="92064"/>
    <n v="71240"/>
    <n v="20824"/>
    <d v="2014-12-01T00:00:00"/>
    <x v="2"/>
    <x v="2"/>
    <x v="0"/>
  </r>
  <r>
    <x v="1"/>
    <x v="0"/>
    <x v="1"/>
    <s v="Low"/>
    <n v="1967"/>
    <n v="5"/>
    <n v="15"/>
    <n v="29505"/>
    <n v="1180.2"/>
    <n v="28324.799999999999"/>
    <n v="19670"/>
    <n v="8654.7999999999993"/>
    <d v="2014-03-01T00:00:00"/>
    <x v="3"/>
    <x v="3"/>
    <x v="0"/>
  </r>
  <r>
    <x v="4"/>
    <x v="1"/>
    <x v="1"/>
    <s v="Low"/>
    <n v="1859"/>
    <n v="5"/>
    <n v="300"/>
    <n v="557700"/>
    <n v="22308"/>
    <n v="535392"/>
    <n v="464750"/>
    <n v="70642"/>
    <d v="2014-08-01T00:00:00"/>
    <x v="5"/>
    <x v="5"/>
    <x v="0"/>
  </r>
  <r>
    <x v="0"/>
    <x v="0"/>
    <x v="1"/>
    <s v="Low"/>
    <n v="2851"/>
    <n v="5"/>
    <n v="7"/>
    <n v="19957"/>
    <n v="798.28"/>
    <n v="19158.72"/>
    <n v="14255"/>
    <n v="4903.7200000000012"/>
    <d v="2013-10-01T00:00:00"/>
    <x v="7"/>
    <x v="7"/>
    <x v="1"/>
  </r>
  <r>
    <x v="4"/>
    <x v="1"/>
    <x v="1"/>
    <s v="Low"/>
    <n v="2021"/>
    <n v="5"/>
    <n v="300"/>
    <n v="606300"/>
    <n v="24252"/>
    <n v="582048"/>
    <n v="505250"/>
    <n v="76798"/>
    <d v="2014-10-01T00:00:00"/>
    <x v="7"/>
    <x v="7"/>
    <x v="0"/>
  </r>
  <r>
    <x v="3"/>
    <x v="3"/>
    <x v="1"/>
    <s v="Low"/>
    <n v="1138"/>
    <n v="5"/>
    <n v="125"/>
    <n v="142250"/>
    <n v="5690"/>
    <n v="136560"/>
    <n v="136560"/>
    <n v="0"/>
    <d v="2014-12-01T00:00:00"/>
    <x v="2"/>
    <x v="2"/>
    <x v="0"/>
  </r>
  <r>
    <x v="0"/>
    <x v="0"/>
    <x v="2"/>
    <s v="Low"/>
    <n v="4251"/>
    <n v="10"/>
    <n v="7"/>
    <n v="29757"/>
    <n v="1190.28"/>
    <n v="28566.720000000001"/>
    <n v="21255"/>
    <n v="7311.7199999999993"/>
    <d v="2014-01-01T00:00:00"/>
    <x v="0"/>
    <x v="0"/>
    <x v="0"/>
  </r>
  <r>
    <x v="3"/>
    <x v="1"/>
    <x v="2"/>
    <s v="Low"/>
    <n v="795"/>
    <n v="10"/>
    <n v="125"/>
    <n v="99375"/>
    <n v="3975"/>
    <n v="95400"/>
    <n v="95400"/>
    <n v="0"/>
    <d v="2014-03-01T00:00:00"/>
    <x v="3"/>
    <x v="3"/>
    <x v="0"/>
  </r>
  <r>
    <x v="4"/>
    <x v="1"/>
    <x v="2"/>
    <s v="Low"/>
    <n v="1414.5"/>
    <n v="10"/>
    <n v="300"/>
    <n v="424350"/>
    <n v="16974"/>
    <n v="407376"/>
    <n v="353625"/>
    <n v="53751"/>
    <d v="2014-04-01T00:00:00"/>
    <x v="10"/>
    <x v="10"/>
    <x v="0"/>
  </r>
  <r>
    <x v="4"/>
    <x v="4"/>
    <x v="2"/>
    <s v="Low"/>
    <n v="2918"/>
    <n v="10"/>
    <n v="300"/>
    <n v="875400"/>
    <n v="35016"/>
    <n v="840384"/>
    <n v="729500"/>
    <n v="110884"/>
    <d v="2014-05-01T00:00:00"/>
    <x v="11"/>
    <x v="11"/>
    <x v="0"/>
  </r>
  <r>
    <x v="0"/>
    <x v="4"/>
    <x v="2"/>
    <s v="Low"/>
    <n v="3450"/>
    <n v="10"/>
    <n v="350"/>
    <n v="1207500"/>
    <n v="48300"/>
    <n v="1159200"/>
    <n v="897000"/>
    <n v="262200"/>
    <d v="2014-07-01T00:00:00"/>
    <x v="4"/>
    <x v="4"/>
    <x v="0"/>
  </r>
  <r>
    <x v="3"/>
    <x v="2"/>
    <x v="2"/>
    <s v="Low"/>
    <n v="2988"/>
    <n v="10"/>
    <n v="125"/>
    <n v="373500"/>
    <n v="14940"/>
    <n v="358560"/>
    <n v="358560"/>
    <n v="0"/>
    <d v="2014-07-01T00:00:00"/>
    <x v="4"/>
    <x v="4"/>
    <x v="0"/>
  </r>
  <r>
    <x v="1"/>
    <x v="0"/>
    <x v="2"/>
    <s v="Low"/>
    <n v="218"/>
    <n v="10"/>
    <n v="15"/>
    <n v="3270"/>
    <n v="130.80000000000001"/>
    <n v="3139.2"/>
    <n v="2180"/>
    <n v="959.19999999999982"/>
    <d v="2014-09-01T00:00:00"/>
    <x v="6"/>
    <x v="6"/>
    <x v="0"/>
  </r>
  <r>
    <x v="0"/>
    <x v="0"/>
    <x v="2"/>
    <s v="Low"/>
    <n v="2074"/>
    <n v="10"/>
    <n v="20"/>
    <n v="41480"/>
    <n v="1659.2"/>
    <n v="39820.800000000003"/>
    <n v="20740"/>
    <n v="19080.800000000003"/>
    <d v="2014-09-01T00:00:00"/>
    <x v="6"/>
    <x v="6"/>
    <x v="0"/>
  </r>
  <r>
    <x v="0"/>
    <x v="4"/>
    <x v="2"/>
    <s v="Low"/>
    <n v="1056"/>
    <n v="10"/>
    <n v="20"/>
    <n v="21120"/>
    <n v="844.8"/>
    <n v="20275.2"/>
    <n v="10560"/>
    <n v="9715.2000000000007"/>
    <d v="2014-09-01T00:00:00"/>
    <x v="6"/>
    <x v="6"/>
    <x v="0"/>
  </r>
  <r>
    <x v="1"/>
    <x v="4"/>
    <x v="2"/>
    <s v="Low"/>
    <n v="671"/>
    <n v="10"/>
    <n v="15"/>
    <n v="10065"/>
    <n v="402.6"/>
    <n v="9662.4"/>
    <n v="6710"/>
    <n v="2952.3999999999996"/>
    <d v="2013-10-01T00:00:00"/>
    <x v="7"/>
    <x v="7"/>
    <x v="1"/>
  </r>
  <r>
    <x v="1"/>
    <x v="3"/>
    <x v="2"/>
    <s v="Low"/>
    <n v="1514"/>
    <n v="10"/>
    <n v="15"/>
    <n v="22710"/>
    <n v="908.4"/>
    <n v="21801.599999999999"/>
    <n v="15140"/>
    <n v="6661.5999999999985"/>
    <d v="2013-10-01T00:00:00"/>
    <x v="7"/>
    <x v="7"/>
    <x v="1"/>
  </r>
  <r>
    <x v="0"/>
    <x v="4"/>
    <x v="2"/>
    <s v="Low"/>
    <n v="274"/>
    <n v="10"/>
    <n v="350"/>
    <n v="95900"/>
    <n v="3836"/>
    <n v="92064"/>
    <n v="71240"/>
    <n v="20824"/>
    <d v="2014-12-01T00:00:00"/>
    <x v="2"/>
    <x v="2"/>
    <x v="0"/>
  </r>
  <r>
    <x v="3"/>
    <x v="3"/>
    <x v="2"/>
    <s v="Low"/>
    <n v="1138"/>
    <n v="10"/>
    <n v="125"/>
    <n v="142250"/>
    <n v="5690"/>
    <n v="136560"/>
    <n v="136560"/>
    <n v="0"/>
    <d v="2014-12-01T00:00:00"/>
    <x v="2"/>
    <x v="2"/>
    <x v="0"/>
  </r>
  <r>
    <x v="2"/>
    <x v="4"/>
    <x v="3"/>
    <s v="Low"/>
    <n v="1465"/>
    <n v="120"/>
    <n v="12"/>
    <n v="17580"/>
    <n v="703.2"/>
    <n v="16876.8"/>
    <n v="4395"/>
    <n v="12481.8"/>
    <d v="2014-03-01T00:00:00"/>
    <x v="3"/>
    <x v="3"/>
    <x v="0"/>
  </r>
  <r>
    <x v="0"/>
    <x v="0"/>
    <x v="3"/>
    <s v="Low"/>
    <n v="2646"/>
    <n v="120"/>
    <n v="20"/>
    <n v="52920"/>
    <n v="2116.8000000000002"/>
    <n v="50803.199999999997"/>
    <n v="26460"/>
    <n v="24343.199999999997"/>
    <d v="2013-09-01T00:00:00"/>
    <x v="6"/>
    <x v="6"/>
    <x v="1"/>
  </r>
  <r>
    <x v="0"/>
    <x v="2"/>
    <x v="3"/>
    <s v="Low"/>
    <n v="2177"/>
    <n v="120"/>
    <n v="350"/>
    <n v="761950"/>
    <n v="30478"/>
    <n v="731472"/>
    <n v="566020"/>
    <n v="165452"/>
    <d v="2014-10-01T00:00:00"/>
    <x v="7"/>
    <x v="7"/>
    <x v="0"/>
  </r>
  <r>
    <x v="2"/>
    <x v="2"/>
    <x v="4"/>
    <s v="Low"/>
    <n v="866"/>
    <n v="250"/>
    <n v="12"/>
    <n v="10392"/>
    <n v="415.68"/>
    <n v="9976.32"/>
    <n v="2598"/>
    <n v="7378.32"/>
    <d v="2014-05-01T00:00:00"/>
    <x v="11"/>
    <x v="11"/>
    <x v="0"/>
  </r>
  <r>
    <x v="0"/>
    <x v="4"/>
    <x v="4"/>
    <s v="Low"/>
    <n v="349"/>
    <n v="250"/>
    <n v="350"/>
    <n v="122150"/>
    <n v="4886"/>
    <n v="117264"/>
    <n v="90740"/>
    <n v="26524"/>
    <d v="2013-09-01T00:00:00"/>
    <x v="6"/>
    <x v="6"/>
    <x v="1"/>
  </r>
  <r>
    <x v="0"/>
    <x v="2"/>
    <x v="4"/>
    <s v="Low"/>
    <n v="2177"/>
    <n v="250"/>
    <n v="350"/>
    <n v="761950"/>
    <n v="30478"/>
    <n v="731472"/>
    <n v="566020"/>
    <n v="165452"/>
    <d v="2014-10-01T00:00:00"/>
    <x v="7"/>
    <x v="7"/>
    <x v="0"/>
  </r>
  <r>
    <x v="1"/>
    <x v="3"/>
    <x v="4"/>
    <s v="Low"/>
    <n v="1514"/>
    <n v="250"/>
    <n v="15"/>
    <n v="22710"/>
    <n v="908.4"/>
    <n v="21801.599999999999"/>
    <n v="15140"/>
    <n v="6661.5999999999985"/>
    <d v="2013-10-01T00:00:00"/>
    <x v="7"/>
    <x v="7"/>
    <x v="1"/>
  </r>
  <r>
    <x v="0"/>
    <x v="3"/>
    <x v="5"/>
    <s v="Low"/>
    <n v="1865"/>
    <n v="260"/>
    <n v="350"/>
    <n v="652750"/>
    <n v="26110"/>
    <n v="626640"/>
    <n v="484900"/>
    <n v="141740"/>
    <d v="2014-02-01T00:00:00"/>
    <x v="8"/>
    <x v="8"/>
    <x v="0"/>
  </r>
  <r>
    <x v="3"/>
    <x v="3"/>
    <x v="5"/>
    <s v="Low"/>
    <n v="1074"/>
    <n v="260"/>
    <n v="125"/>
    <n v="134250"/>
    <n v="5370"/>
    <n v="128880"/>
    <n v="128880"/>
    <n v="0"/>
    <d v="2014-04-01T00:00:00"/>
    <x v="10"/>
    <x v="10"/>
    <x v="0"/>
  </r>
  <r>
    <x v="0"/>
    <x v="1"/>
    <x v="5"/>
    <s v="Low"/>
    <n v="1907"/>
    <n v="260"/>
    <n v="350"/>
    <n v="667450"/>
    <n v="26698"/>
    <n v="640752"/>
    <n v="495820"/>
    <n v="144932"/>
    <d v="2014-09-01T00:00:00"/>
    <x v="6"/>
    <x v="6"/>
    <x v="0"/>
  </r>
  <r>
    <x v="1"/>
    <x v="4"/>
    <x v="5"/>
    <s v="Low"/>
    <n v="671"/>
    <n v="260"/>
    <n v="15"/>
    <n v="10065"/>
    <n v="402.6"/>
    <n v="9662.4"/>
    <n v="6710"/>
    <n v="2952.3999999999996"/>
    <d v="2013-10-01T00:00:00"/>
    <x v="7"/>
    <x v="7"/>
    <x v="1"/>
  </r>
  <r>
    <x v="0"/>
    <x v="0"/>
    <x v="5"/>
    <s v="Low"/>
    <n v="1778"/>
    <n v="260"/>
    <n v="350"/>
    <n v="622300"/>
    <n v="24892"/>
    <n v="597408"/>
    <n v="462280"/>
    <n v="135128"/>
    <d v="2013-12-01T00:00:00"/>
    <x v="2"/>
    <x v="2"/>
    <x v="1"/>
  </r>
  <r>
    <x v="0"/>
    <x v="1"/>
    <x v="1"/>
    <s v="Medium"/>
    <n v="1159"/>
    <n v="5"/>
    <n v="7"/>
    <n v="8113"/>
    <n v="405.65"/>
    <n v="7707.35"/>
    <n v="5795"/>
    <n v="1912.3500000000004"/>
    <d v="2013-10-01T00:00:00"/>
    <x v="7"/>
    <x v="7"/>
    <x v="1"/>
  </r>
  <r>
    <x v="0"/>
    <x v="1"/>
    <x v="2"/>
    <s v="Medium"/>
    <n v="1372"/>
    <n v="10"/>
    <n v="7"/>
    <n v="9604"/>
    <n v="480.2"/>
    <n v="9123.7999999999993"/>
    <n v="6860"/>
    <n v="2263.7999999999993"/>
    <d v="2014-01-01T00:00:00"/>
    <x v="0"/>
    <x v="0"/>
    <x v="0"/>
  </r>
  <r>
    <x v="0"/>
    <x v="0"/>
    <x v="2"/>
    <s v="Medium"/>
    <n v="2349"/>
    <n v="10"/>
    <n v="7"/>
    <n v="16443"/>
    <n v="822.15"/>
    <n v="15620.85"/>
    <n v="11745"/>
    <n v="3875.8500000000004"/>
    <d v="2013-09-01T00:00:00"/>
    <x v="6"/>
    <x v="6"/>
    <x v="1"/>
  </r>
  <r>
    <x v="0"/>
    <x v="3"/>
    <x v="2"/>
    <s v="Medium"/>
    <n v="2689"/>
    <n v="10"/>
    <n v="7"/>
    <n v="18823"/>
    <n v="941.15"/>
    <n v="17881.849999999999"/>
    <n v="13445"/>
    <n v="4436.8499999999985"/>
    <d v="2014-10-01T00:00:00"/>
    <x v="7"/>
    <x v="7"/>
    <x v="0"/>
  </r>
  <r>
    <x v="2"/>
    <x v="0"/>
    <x v="2"/>
    <s v="Medium"/>
    <n v="2431"/>
    <n v="10"/>
    <n v="12"/>
    <n v="29172"/>
    <n v="1458.6"/>
    <n v="27713.4"/>
    <n v="7293"/>
    <n v="20420.400000000001"/>
    <d v="2014-12-01T00:00:00"/>
    <x v="2"/>
    <x v="2"/>
    <x v="0"/>
  </r>
  <r>
    <x v="2"/>
    <x v="0"/>
    <x v="3"/>
    <s v="Medium"/>
    <n v="2431"/>
    <n v="120"/>
    <n v="12"/>
    <n v="29172"/>
    <n v="1458.6"/>
    <n v="27713.4"/>
    <n v="7293"/>
    <n v="20420.400000000001"/>
    <d v="2014-12-01T00:00:00"/>
    <x v="2"/>
    <x v="2"/>
    <x v="0"/>
  </r>
  <r>
    <x v="0"/>
    <x v="3"/>
    <x v="4"/>
    <s v="Medium"/>
    <n v="2689"/>
    <n v="250"/>
    <n v="7"/>
    <n v="18823"/>
    <n v="941.15"/>
    <n v="17881.849999999999"/>
    <n v="13445"/>
    <n v="4436.8499999999985"/>
    <d v="2014-10-01T00:00:00"/>
    <x v="7"/>
    <x v="7"/>
    <x v="0"/>
  </r>
  <r>
    <x v="0"/>
    <x v="3"/>
    <x v="5"/>
    <s v="Medium"/>
    <n v="1683"/>
    <n v="260"/>
    <n v="7"/>
    <n v="11781"/>
    <n v="589.04999999999995"/>
    <n v="11191.95"/>
    <n v="8415"/>
    <n v="2776.9500000000007"/>
    <d v="2014-07-01T00:00:00"/>
    <x v="4"/>
    <x v="4"/>
    <x v="0"/>
  </r>
  <r>
    <x v="2"/>
    <x v="3"/>
    <x v="5"/>
    <s v="Medium"/>
    <n v="1123"/>
    <n v="260"/>
    <n v="12"/>
    <n v="13476"/>
    <n v="673.8"/>
    <n v="12802.2"/>
    <n v="3369"/>
    <n v="9433.2000000000007"/>
    <d v="2014-08-01T00:00:00"/>
    <x v="5"/>
    <x v="5"/>
    <x v="0"/>
  </r>
  <r>
    <x v="0"/>
    <x v="1"/>
    <x v="5"/>
    <s v="Medium"/>
    <n v="1159"/>
    <n v="260"/>
    <n v="7"/>
    <n v="8113"/>
    <n v="405.65"/>
    <n v="7707.35"/>
    <n v="5795"/>
    <n v="1912.3500000000004"/>
    <d v="2013-10-01T00:00:00"/>
    <x v="7"/>
    <x v="7"/>
    <x v="1"/>
  </r>
  <r>
    <x v="2"/>
    <x v="2"/>
    <x v="0"/>
    <s v="Medium"/>
    <n v="1865"/>
    <n v="3"/>
    <n v="12"/>
    <n v="22380"/>
    <n v="1119"/>
    <n v="21261"/>
    <n v="5595"/>
    <n v="15666"/>
    <d v="2014-02-01T00:00:00"/>
    <x v="8"/>
    <x v="8"/>
    <x v="0"/>
  </r>
  <r>
    <x v="2"/>
    <x v="1"/>
    <x v="0"/>
    <s v="Medium"/>
    <n v="1116"/>
    <n v="3"/>
    <n v="12"/>
    <n v="13392"/>
    <n v="669.6"/>
    <n v="12722.4"/>
    <n v="3348"/>
    <n v="9374.4"/>
    <d v="2014-02-01T00:00:00"/>
    <x v="8"/>
    <x v="8"/>
    <x v="0"/>
  </r>
  <r>
    <x v="0"/>
    <x v="2"/>
    <x v="0"/>
    <s v="Medium"/>
    <n v="1563"/>
    <n v="3"/>
    <n v="20"/>
    <n v="31260"/>
    <n v="1563"/>
    <n v="29697"/>
    <n v="15630"/>
    <n v="14067"/>
    <d v="2014-05-01T00:00:00"/>
    <x v="11"/>
    <x v="11"/>
    <x v="0"/>
  </r>
  <r>
    <x v="4"/>
    <x v="4"/>
    <x v="0"/>
    <s v="Medium"/>
    <n v="991"/>
    <n v="3"/>
    <n v="300"/>
    <n v="297300"/>
    <n v="14865"/>
    <n v="282435"/>
    <n v="247750"/>
    <n v="34685"/>
    <d v="2014-06-01T00:00:00"/>
    <x v="1"/>
    <x v="1"/>
    <x v="0"/>
  </r>
  <r>
    <x v="0"/>
    <x v="1"/>
    <x v="0"/>
    <s v="Medium"/>
    <n v="1016"/>
    <n v="3"/>
    <n v="7"/>
    <n v="7112"/>
    <n v="355.6"/>
    <n v="6756.4"/>
    <n v="5080"/>
    <n v="1676.3999999999996"/>
    <d v="2013-11-01T00:00:00"/>
    <x v="9"/>
    <x v="9"/>
    <x v="1"/>
  </r>
  <r>
    <x v="1"/>
    <x v="3"/>
    <x v="0"/>
    <s v="Medium"/>
    <n v="2791"/>
    <n v="3"/>
    <n v="15"/>
    <n v="41865"/>
    <n v="2093.25"/>
    <n v="39771.75"/>
    <n v="27910"/>
    <n v="11861.75"/>
    <d v="2014-11-01T00:00:00"/>
    <x v="9"/>
    <x v="9"/>
    <x v="0"/>
  </r>
  <r>
    <x v="0"/>
    <x v="4"/>
    <x v="0"/>
    <s v="Medium"/>
    <n v="570"/>
    <n v="3"/>
    <n v="7"/>
    <n v="3990"/>
    <n v="199.5"/>
    <n v="3790.5"/>
    <n v="2850"/>
    <n v="940.5"/>
    <d v="2014-12-01T00:00:00"/>
    <x v="2"/>
    <x v="2"/>
    <x v="0"/>
  </r>
  <r>
    <x v="0"/>
    <x v="2"/>
    <x v="0"/>
    <s v="Medium"/>
    <n v="2487"/>
    <n v="3"/>
    <n v="7"/>
    <n v="17409"/>
    <n v="870.45"/>
    <n v="16538.55"/>
    <n v="12435"/>
    <n v="4103.5499999999993"/>
    <d v="2014-12-01T00:00:00"/>
    <x v="2"/>
    <x v="2"/>
    <x v="0"/>
  </r>
  <r>
    <x v="0"/>
    <x v="2"/>
    <x v="1"/>
    <s v="Medium"/>
    <n v="1384.5"/>
    <n v="5"/>
    <n v="350"/>
    <n v="484575"/>
    <n v="24228.75"/>
    <n v="460346.25"/>
    <n v="359970"/>
    <n v="100376.25"/>
    <d v="2014-01-01T00:00:00"/>
    <x v="0"/>
    <x v="0"/>
    <x v="0"/>
  </r>
  <r>
    <x v="3"/>
    <x v="4"/>
    <x v="1"/>
    <s v="Medium"/>
    <n v="3627"/>
    <n v="5"/>
    <n v="125"/>
    <n v="453375"/>
    <n v="22668.75"/>
    <n v="430706.25"/>
    <n v="435240"/>
    <n v="-4533.75"/>
    <d v="2014-07-01T00:00:00"/>
    <x v="4"/>
    <x v="4"/>
    <x v="0"/>
  </r>
  <r>
    <x v="0"/>
    <x v="3"/>
    <x v="1"/>
    <s v="Medium"/>
    <n v="720"/>
    <n v="5"/>
    <n v="350"/>
    <n v="252000"/>
    <n v="12600"/>
    <n v="239400"/>
    <n v="187200"/>
    <n v="52200"/>
    <d v="2013-09-01T00:00:00"/>
    <x v="6"/>
    <x v="6"/>
    <x v="1"/>
  </r>
  <r>
    <x v="2"/>
    <x v="1"/>
    <x v="1"/>
    <s v="Medium"/>
    <n v="2342"/>
    <n v="5"/>
    <n v="12"/>
    <n v="28104"/>
    <n v="1405.2"/>
    <n v="26698.799999999999"/>
    <n v="7026"/>
    <n v="19672.8"/>
    <d v="2014-11-01T00:00:00"/>
    <x v="9"/>
    <x v="9"/>
    <x v="0"/>
  </r>
  <r>
    <x v="4"/>
    <x v="3"/>
    <x v="1"/>
    <s v="Medium"/>
    <n v="1100"/>
    <n v="5"/>
    <n v="300"/>
    <n v="330000"/>
    <n v="16500"/>
    <n v="313500"/>
    <n v="275000"/>
    <n v="38500"/>
    <d v="2013-12-01T00:00:00"/>
    <x v="2"/>
    <x v="2"/>
    <x v="1"/>
  </r>
  <r>
    <x v="0"/>
    <x v="2"/>
    <x v="2"/>
    <s v="Medium"/>
    <n v="1303"/>
    <n v="10"/>
    <n v="20"/>
    <n v="26060"/>
    <n v="1303"/>
    <n v="24757"/>
    <n v="13030"/>
    <n v="11727"/>
    <d v="2014-02-01T00:00:00"/>
    <x v="8"/>
    <x v="8"/>
    <x v="0"/>
  </r>
  <r>
    <x v="3"/>
    <x v="4"/>
    <x v="2"/>
    <s v="Medium"/>
    <n v="2992"/>
    <n v="10"/>
    <n v="125"/>
    <n v="374000"/>
    <n v="18700"/>
    <n v="355300"/>
    <n v="359040"/>
    <n v="-3740"/>
    <d v="2014-03-01T00:00:00"/>
    <x v="3"/>
    <x v="3"/>
    <x v="0"/>
  </r>
  <r>
    <x v="3"/>
    <x v="2"/>
    <x v="2"/>
    <s v="Medium"/>
    <n v="2385"/>
    <n v="10"/>
    <n v="125"/>
    <n v="298125"/>
    <n v="14906.25"/>
    <n v="283218.75"/>
    <n v="286200"/>
    <n v="-2981.25"/>
    <d v="2014-03-01T00:00:00"/>
    <x v="3"/>
    <x v="3"/>
    <x v="0"/>
  </r>
  <r>
    <x v="4"/>
    <x v="3"/>
    <x v="2"/>
    <s v="Medium"/>
    <n v="1607"/>
    <n v="10"/>
    <n v="300"/>
    <n v="482100"/>
    <n v="24105"/>
    <n v="457995"/>
    <n v="401750"/>
    <n v="56245"/>
    <d v="2014-04-01T00:00:00"/>
    <x v="10"/>
    <x v="10"/>
    <x v="0"/>
  </r>
  <r>
    <x v="0"/>
    <x v="4"/>
    <x v="2"/>
    <s v="Medium"/>
    <n v="2327"/>
    <n v="10"/>
    <n v="7"/>
    <n v="16289"/>
    <n v="814.45"/>
    <n v="15474.55"/>
    <n v="11635"/>
    <n v="3839.5499999999993"/>
    <d v="2014-05-01T00:00:00"/>
    <x v="11"/>
    <x v="11"/>
    <x v="0"/>
  </r>
  <r>
    <x v="4"/>
    <x v="4"/>
    <x v="2"/>
    <s v="Medium"/>
    <n v="991"/>
    <n v="10"/>
    <n v="300"/>
    <n v="297300"/>
    <n v="14865"/>
    <n v="282435"/>
    <n v="247750"/>
    <n v="34685"/>
    <d v="2014-06-01T00:00:00"/>
    <x v="1"/>
    <x v="1"/>
    <x v="0"/>
  </r>
  <r>
    <x v="0"/>
    <x v="4"/>
    <x v="2"/>
    <s v="Medium"/>
    <n v="602"/>
    <n v="10"/>
    <n v="350"/>
    <n v="210700"/>
    <n v="10535"/>
    <n v="200165"/>
    <n v="156520"/>
    <n v="43645"/>
    <d v="2014-06-01T00:00:00"/>
    <x v="1"/>
    <x v="1"/>
    <x v="0"/>
  </r>
  <r>
    <x v="1"/>
    <x v="2"/>
    <x v="2"/>
    <s v="Medium"/>
    <n v="2620"/>
    <n v="10"/>
    <n v="15"/>
    <n v="39300"/>
    <n v="1965"/>
    <n v="37335"/>
    <n v="26200"/>
    <n v="11135"/>
    <d v="2014-09-01T00:00:00"/>
    <x v="6"/>
    <x v="6"/>
    <x v="0"/>
  </r>
  <r>
    <x v="0"/>
    <x v="0"/>
    <x v="2"/>
    <s v="Medium"/>
    <n v="1228"/>
    <n v="10"/>
    <n v="350"/>
    <n v="429800"/>
    <n v="21490"/>
    <n v="408310"/>
    <n v="319280"/>
    <n v="89030"/>
    <d v="2013-10-01T00:00:00"/>
    <x v="7"/>
    <x v="7"/>
    <x v="1"/>
  </r>
  <r>
    <x v="0"/>
    <x v="0"/>
    <x v="2"/>
    <s v="Medium"/>
    <n v="1389"/>
    <n v="10"/>
    <n v="20"/>
    <n v="27780"/>
    <n v="1389"/>
    <n v="26391"/>
    <n v="13890"/>
    <n v="12501"/>
    <d v="2013-10-01T00:00:00"/>
    <x v="7"/>
    <x v="7"/>
    <x v="1"/>
  </r>
  <r>
    <x v="3"/>
    <x v="4"/>
    <x v="2"/>
    <s v="Medium"/>
    <n v="861"/>
    <n v="10"/>
    <n v="125"/>
    <n v="107625"/>
    <n v="5381.25"/>
    <n v="102243.75"/>
    <n v="103320"/>
    <n v="-1076.25"/>
    <d v="2014-10-01T00:00:00"/>
    <x v="7"/>
    <x v="7"/>
    <x v="0"/>
  </r>
  <r>
    <x v="3"/>
    <x v="2"/>
    <x v="2"/>
    <s v="Medium"/>
    <n v="704"/>
    <n v="10"/>
    <n v="125"/>
    <n v="88000"/>
    <n v="4400"/>
    <n v="83600"/>
    <n v="84480"/>
    <n v="-880"/>
    <d v="2013-10-01T00:00:00"/>
    <x v="7"/>
    <x v="7"/>
    <x v="1"/>
  </r>
  <r>
    <x v="0"/>
    <x v="0"/>
    <x v="2"/>
    <s v="Medium"/>
    <n v="1802"/>
    <n v="10"/>
    <n v="20"/>
    <n v="36040"/>
    <n v="1802"/>
    <n v="34238"/>
    <n v="18020"/>
    <n v="16218"/>
    <d v="2013-12-01T00:00:00"/>
    <x v="2"/>
    <x v="2"/>
    <x v="1"/>
  </r>
  <r>
    <x v="0"/>
    <x v="4"/>
    <x v="2"/>
    <s v="Medium"/>
    <n v="2663"/>
    <n v="10"/>
    <n v="20"/>
    <n v="53260"/>
    <n v="2663"/>
    <n v="50597"/>
    <n v="26630"/>
    <n v="23967"/>
    <d v="2014-12-01T00:00:00"/>
    <x v="2"/>
    <x v="2"/>
    <x v="0"/>
  </r>
  <r>
    <x v="0"/>
    <x v="2"/>
    <x v="2"/>
    <s v="Medium"/>
    <n v="2136"/>
    <n v="10"/>
    <n v="7"/>
    <n v="14952"/>
    <n v="747.6"/>
    <n v="14204.4"/>
    <n v="10680"/>
    <n v="3524.3999999999996"/>
    <d v="2013-12-01T00:00:00"/>
    <x v="2"/>
    <x v="2"/>
    <x v="1"/>
  </r>
  <r>
    <x v="1"/>
    <x v="1"/>
    <x v="2"/>
    <s v="Medium"/>
    <n v="2116"/>
    <n v="10"/>
    <n v="15"/>
    <n v="31740"/>
    <n v="1587"/>
    <n v="30153"/>
    <n v="21160"/>
    <n v="8993"/>
    <d v="2013-12-01T00:00:00"/>
    <x v="2"/>
    <x v="2"/>
    <x v="1"/>
  </r>
  <r>
    <x v="1"/>
    <x v="4"/>
    <x v="3"/>
    <s v="Medium"/>
    <n v="555"/>
    <n v="120"/>
    <n v="15"/>
    <n v="8325"/>
    <n v="416.25"/>
    <n v="7908.75"/>
    <n v="5550"/>
    <n v="2358.75"/>
    <d v="2014-01-01T00:00:00"/>
    <x v="0"/>
    <x v="0"/>
    <x v="0"/>
  </r>
  <r>
    <x v="1"/>
    <x v="3"/>
    <x v="3"/>
    <s v="Medium"/>
    <n v="2861"/>
    <n v="120"/>
    <n v="15"/>
    <n v="42915"/>
    <n v="2145.75"/>
    <n v="40769.25"/>
    <n v="28610"/>
    <n v="12159.25"/>
    <d v="2014-01-01T00:00:00"/>
    <x v="0"/>
    <x v="0"/>
    <x v="0"/>
  </r>
  <r>
    <x v="3"/>
    <x v="1"/>
    <x v="3"/>
    <s v="Medium"/>
    <n v="807"/>
    <n v="120"/>
    <n v="125"/>
    <n v="100875"/>
    <n v="5043.75"/>
    <n v="95831.25"/>
    <n v="96840"/>
    <n v="-1008.75"/>
    <d v="2014-02-01T00:00:00"/>
    <x v="8"/>
    <x v="8"/>
    <x v="0"/>
  </r>
  <r>
    <x v="0"/>
    <x v="4"/>
    <x v="3"/>
    <s v="Medium"/>
    <n v="602"/>
    <n v="120"/>
    <n v="350"/>
    <n v="210700"/>
    <n v="10535"/>
    <n v="200165"/>
    <n v="156520"/>
    <n v="43645"/>
    <d v="2014-06-01T00:00:00"/>
    <x v="1"/>
    <x v="1"/>
    <x v="0"/>
  </r>
  <r>
    <x v="0"/>
    <x v="4"/>
    <x v="3"/>
    <s v="Medium"/>
    <n v="2832"/>
    <n v="120"/>
    <n v="20"/>
    <n v="56640"/>
    <n v="2832"/>
    <n v="53808"/>
    <n v="28320"/>
    <n v="25488"/>
    <d v="2014-08-01T00:00:00"/>
    <x v="5"/>
    <x v="5"/>
    <x v="0"/>
  </r>
  <r>
    <x v="0"/>
    <x v="2"/>
    <x v="3"/>
    <s v="Medium"/>
    <n v="1579"/>
    <n v="120"/>
    <n v="20"/>
    <n v="31580"/>
    <n v="1579"/>
    <n v="30001"/>
    <n v="15790"/>
    <n v="14211"/>
    <d v="2014-08-01T00:00:00"/>
    <x v="5"/>
    <x v="5"/>
    <x v="0"/>
  </r>
  <r>
    <x v="3"/>
    <x v="4"/>
    <x v="3"/>
    <s v="Medium"/>
    <n v="861"/>
    <n v="120"/>
    <n v="125"/>
    <n v="107625"/>
    <n v="5381.25"/>
    <n v="102243.75"/>
    <n v="103320"/>
    <n v="-1076.25"/>
    <d v="2014-10-01T00:00:00"/>
    <x v="7"/>
    <x v="7"/>
    <x v="0"/>
  </r>
  <r>
    <x v="3"/>
    <x v="2"/>
    <x v="3"/>
    <s v="Medium"/>
    <n v="704"/>
    <n v="120"/>
    <n v="125"/>
    <n v="88000"/>
    <n v="4400"/>
    <n v="83600"/>
    <n v="84480"/>
    <n v="-880"/>
    <d v="2013-10-01T00:00:00"/>
    <x v="7"/>
    <x v="7"/>
    <x v="1"/>
  </r>
  <r>
    <x v="0"/>
    <x v="2"/>
    <x v="3"/>
    <s v="Medium"/>
    <n v="1033"/>
    <n v="120"/>
    <n v="20"/>
    <n v="20660"/>
    <n v="1033"/>
    <n v="19627"/>
    <n v="10330"/>
    <n v="9297"/>
    <d v="2013-12-01T00:00:00"/>
    <x v="2"/>
    <x v="2"/>
    <x v="1"/>
  </r>
  <r>
    <x v="4"/>
    <x v="1"/>
    <x v="3"/>
    <s v="Medium"/>
    <n v="1250"/>
    <n v="120"/>
    <n v="300"/>
    <n v="375000"/>
    <n v="18750"/>
    <n v="356250"/>
    <n v="312500"/>
    <n v="43750"/>
    <d v="2014-12-01T00:00:00"/>
    <x v="2"/>
    <x v="2"/>
    <x v="0"/>
  </r>
  <r>
    <x v="0"/>
    <x v="0"/>
    <x v="4"/>
    <s v="Medium"/>
    <n v="1389"/>
    <n v="250"/>
    <n v="20"/>
    <n v="27780"/>
    <n v="1389"/>
    <n v="26391"/>
    <n v="13890"/>
    <n v="12501"/>
    <d v="2013-10-01T00:00:00"/>
    <x v="7"/>
    <x v="7"/>
    <x v="1"/>
  </r>
  <r>
    <x v="0"/>
    <x v="4"/>
    <x v="4"/>
    <s v="Medium"/>
    <n v="1265"/>
    <n v="250"/>
    <n v="20"/>
    <n v="25300"/>
    <n v="1265"/>
    <n v="24035"/>
    <n v="12650"/>
    <n v="11385"/>
    <d v="2013-11-01T00:00:00"/>
    <x v="9"/>
    <x v="9"/>
    <x v="1"/>
  </r>
  <r>
    <x v="0"/>
    <x v="1"/>
    <x v="4"/>
    <s v="Medium"/>
    <n v="2297"/>
    <n v="250"/>
    <n v="20"/>
    <n v="45940"/>
    <n v="2297"/>
    <n v="43643"/>
    <n v="22970"/>
    <n v="20673"/>
    <d v="2013-11-01T00:00:00"/>
    <x v="9"/>
    <x v="9"/>
    <x v="1"/>
  </r>
  <r>
    <x v="0"/>
    <x v="4"/>
    <x v="4"/>
    <s v="Medium"/>
    <n v="2663"/>
    <n v="250"/>
    <n v="20"/>
    <n v="53260"/>
    <n v="2663"/>
    <n v="50597"/>
    <n v="26630"/>
    <n v="23967"/>
    <d v="2014-12-01T00:00:00"/>
    <x v="2"/>
    <x v="2"/>
    <x v="0"/>
  </r>
  <r>
    <x v="0"/>
    <x v="4"/>
    <x v="4"/>
    <s v="Medium"/>
    <n v="570"/>
    <n v="250"/>
    <n v="7"/>
    <n v="3990"/>
    <n v="199.5"/>
    <n v="3790.5"/>
    <n v="2850"/>
    <n v="940.5"/>
    <d v="2014-12-01T00:00:00"/>
    <x v="2"/>
    <x v="2"/>
    <x v="0"/>
  </r>
  <r>
    <x v="0"/>
    <x v="2"/>
    <x v="4"/>
    <s v="Medium"/>
    <n v="2487"/>
    <n v="250"/>
    <n v="7"/>
    <n v="17409"/>
    <n v="870.45"/>
    <n v="16538.55"/>
    <n v="12435"/>
    <n v="4103.5499999999993"/>
    <d v="2014-12-01T00:00:00"/>
    <x v="2"/>
    <x v="2"/>
    <x v="0"/>
  </r>
  <r>
    <x v="0"/>
    <x v="1"/>
    <x v="5"/>
    <s v="Medium"/>
    <n v="1350"/>
    <n v="260"/>
    <n v="350"/>
    <n v="472500"/>
    <n v="23625"/>
    <n v="448875"/>
    <n v="351000"/>
    <n v="97875"/>
    <d v="2014-02-01T00:00:00"/>
    <x v="8"/>
    <x v="8"/>
    <x v="0"/>
  </r>
  <r>
    <x v="0"/>
    <x v="0"/>
    <x v="5"/>
    <s v="Medium"/>
    <n v="552"/>
    <n v="260"/>
    <n v="350"/>
    <n v="193200"/>
    <n v="9660"/>
    <n v="183540"/>
    <n v="143520"/>
    <n v="40020"/>
    <d v="2014-08-01T00:00:00"/>
    <x v="5"/>
    <x v="5"/>
    <x v="0"/>
  </r>
  <r>
    <x v="0"/>
    <x v="0"/>
    <x v="5"/>
    <s v="Medium"/>
    <n v="1228"/>
    <n v="260"/>
    <n v="350"/>
    <n v="429800"/>
    <n v="21490"/>
    <n v="408310"/>
    <n v="319280"/>
    <n v="89030"/>
    <d v="2013-10-01T00:00:00"/>
    <x v="7"/>
    <x v="7"/>
    <x v="1"/>
  </r>
  <r>
    <x v="4"/>
    <x v="1"/>
    <x v="5"/>
    <s v="Medium"/>
    <n v="1250"/>
    <n v="260"/>
    <n v="300"/>
    <n v="375000"/>
    <n v="18750"/>
    <n v="356250"/>
    <n v="312500"/>
    <n v="43750"/>
    <d v="2014-12-01T00:00:00"/>
    <x v="2"/>
    <x v="2"/>
    <x v="0"/>
  </r>
  <r>
    <x v="1"/>
    <x v="2"/>
    <x v="2"/>
    <s v="Medium"/>
    <n v="3801"/>
    <n v="10"/>
    <n v="15"/>
    <n v="57015"/>
    <n v="3420.8999999999996"/>
    <n v="53594.100000000006"/>
    <n v="38010"/>
    <n v="15584.100000000002"/>
    <d v="2014-04-01T00:00:00"/>
    <x v="10"/>
    <x v="10"/>
    <x v="0"/>
  </r>
  <r>
    <x v="0"/>
    <x v="4"/>
    <x v="0"/>
    <s v="Medium"/>
    <n v="1117.5"/>
    <n v="3"/>
    <n v="20"/>
    <n v="22350"/>
    <n v="1341"/>
    <n v="21009"/>
    <n v="11175"/>
    <n v="9834"/>
    <d v="2014-01-01T00:00:00"/>
    <x v="0"/>
    <x v="0"/>
    <x v="0"/>
  </r>
  <r>
    <x v="1"/>
    <x v="0"/>
    <x v="0"/>
    <s v="Medium"/>
    <n v="2844"/>
    <n v="3"/>
    <n v="15"/>
    <n v="42660"/>
    <n v="2559.6"/>
    <n v="40100.400000000001"/>
    <n v="28440"/>
    <n v="11660.400000000001"/>
    <d v="2014-06-01T00:00:00"/>
    <x v="1"/>
    <x v="1"/>
    <x v="0"/>
  </r>
  <r>
    <x v="2"/>
    <x v="3"/>
    <x v="0"/>
    <s v="Medium"/>
    <n v="562"/>
    <n v="3"/>
    <n v="12"/>
    <n v="6744"/>
    <n v="404.64"/>
    <n v="6339.36"/>
    <n v="1686"/>
    <n v="4653.3599999999997"/>
    <d v="2014-09-01T00:00:00"/>
    <x v="6"/>
    <x v="6"/>
    <x v="0"/>
  </r>
  <r>
    <x v="2"/>
    <x v="0"/>
    <x v="0"/>
    <s v="Medium"/>
    <n v="2299"/>
    <n v="3"/>
    <n v="12"/>
    <n v="27588"/>
    <n v="1655.28"/>
    <n v="25932.720000000001"/>
    <n v="6897"/>
    <n v="19035.72"/>
    <d v="2013-10-01T00:00:00"/>
    <x v="7"/>
    <x v="7"/>
    <x v="1"/>
  </r>
  <r>
    <x v="1"/>
    <x v="4"/>
    <x v="0"/>
    <s v="Medium"/>
    <n v="2030"/>
    <n v="3"/>
    <n v="15"/>
    <n v="30450"/>
    <n v="1827"/>
    <n v="28623"/>
    <n v="20300"/>
    <n v="8323"/>
    <d v="2014-11-01T00:00:00"/>
    <x v="9"/>
    <x v="9"/>
    <x v="0"/>
  </r>
  <r>
    <x v="0"/>
    <x v="4"/>
    <x v="0"/>
    <s v="Medium"/>
    <n v="263"/>
    <n v="3"/>
    <n v="7"/>
    <n v="1841"/>
    <n v="110.46"/>
    <n v="1730.54"/>
    <n v="1315"/>
    <n v="415.53999999999996"/>
    <d v="2013-11-01T00:00:00"/>
    <x v="9"/>
    <x v="9"/>
    <x v="1"/>
  </r>
  <r>
    <x v="3"/>
    <x v="1"/>
    <x v="0"/>
    <s v="Medium"/>
    <n v="887"/>
    <n v="3"/>
    <n v="125"/>
    <n v="110875"/>
    <n v="6652.5"/>
    <n v="104222.5"/>
    <n v="106440"/>
    <n v="-2217.5"/>
    <d v="2013-12-01T00:00:00"/>
    <x v="2"/>
    <x v="2"/>
    <x v="1"/>
  </r>
  <r>
    <x v="0"/>
    <x v="3"/>
    <x v="1"/>
    <s v="Medium"/>
    <n v="980"/>
    <n v="5"/>
    <n v="350"/>
    <n v="343000"/>
    <n v="20580"/>
    <n v="322420"/>
    <n v="254800"/>
    <n v="67620"/>
    <d v="2014-04-01T00:00:00"/>
    <x v="10"/>
    <x v="10"/>
    <x v="0"/>
  </r>
  <r>
    <x v="0"/>
    <x v="1"/>
    <x v="1"/>
    <s v="Medium"/>
    <n v="1460"/>
    <n v="5"/>
    <n v="350"/>
    <n v="511000"/>
    <n v="30660"/>
    <n v="480340"/>
    <n v="379600"/>
    <n v="100740"/>
    <d v="2014-05-01T00:00:00"/>
    <x v="11"/>
    <x v="11"/>
    <x v="0"/>
  </r>
  <r>
    <x v="0"/>
    <x v="2"/>
    <x v="1"/>
    <s v="Medium"/>
    <n v="1403"/>
    <n v="5"/>
    <n v="7"/>
    <n v="9821"/>
    <n v="589.26"/>
    <n v="9231.74"/>
    <n v="7015"/>
    <n v="2216.7399999999998"/>
    <d v="2013-10-01T00:00:00"/>
    <x v="7"/>
    <x v="7"/>
    <x v="1"/>
  </r>
  <r>
    <x v="2"/>
    <x v="4"/>
    <x v="1"/>
    <s v="Medium"/>
    <n v="2723"/>
    <n v="5"/>
    <n v="12"/>
    <n v="32676"/>
    <n v="1960.56"/>
    <n v="30715.439999999999"/>
    <n v="8169"/>
    <n v="22546.44"/>
    <d v="2014-11-01T00:00:00"/>
    <x v="9"/>
    <x v="9"/>
    <x v="0"/>
  </r>
  <r>
    <x v="0"/>
    <x v="2"/>
    <x v="2"/>
    <s v="Medium"/>
    <n v="1496"/>
    <n v="10"/>
    <n v="350"/>
    <n v="523600"/>
    <n v="31416"/>
    <n v="492184"/>
    <n v="388960"/>
    <n v="103224"/>
    <d v="2014-06-01T00:00:00"/>
    <x v="1"/>
    <x v="1"/>
    <x v="0"/>
  </r>
  <r>
    <x v="2"/>
    <x v="0"/>
    <x v="2"/>
    <s v="Medium"/>
    <n v="2299"/>
    <n v="10"/>
    <n v="12"/>
    <n v="27588"/>
    <n v="1655.28"/>
    <n v="25932.720000000001"/>
    <n v="6897"/>
    <n v="19035.72"/>
    <d v="2013-10-01T00:00:00"/>
    <x v="7"/>
    <x v="7"/>
    <x v="1"/>
  </r>
  <r>
    <x v="0"/>
    <x v="4"/>
    <x v="2"/>
    <s v="Medium"/>
    <n v="727"/>
    <n v="10"/>
    <n v="350"/>
    <n v="254450"/>
    <n v="15267"/>
    <n v="239183"/>
    <n v="189020"/>
    <n v="50163"/>
    <d v="2013-10-01T00:00:00"/>
    <x v="7"/>
    <x v="7"/>
    <x v="1"/>
  </r>
  <r>
    <x v="3"/>
    <x v="0"/>
    <x v="3"/>
    <s v="Medium"/>
    <n v="952"/>
    <n v="120"/>
    <n v="125"/>
    <n v="119000"/>
    <n v="7140"/>
    <n v="111860"/>
    <n v="114240"/>
    <n v="-2380"/>
    <d v="2014-02-01T00:00:00"/>
    <x v="8"/>
    <x v="8"/>
    <x v="0"/>
  </r>
  <r>
    <x v="3"/>
    <x v="4"/>
    <x v="3"/>
    <s v="Medium"/>
    <n v="2755"/>
    <n v="120"/>
    <n v="125"/>
    <n v="344375"/>
    <n v="20662.5"/>
    <n v="323712.5"/>
    <n v="330600"/>
    <n v="-6887.5"/>
    <d v="2014-02-01T00:00:00"/>
    <x v="8"/>
    <x v="8"/>
    <x v="0"/>
  </r>
  <r>
    <x v="1"/>
    <x v="1"/>
    <x v="3"/>
    <s v="Medium"/>
    <n v="1530"/>
    <n v="120"/>
    <n v="15"/>
    <n v="22950"/>
    <n v="1377"/>
    <n v="21573"/>
    <n v="15300"/>
    <n v="6273"/>
    <d v="2014-05-01T00:00:00"/>
    <x v="11"/>
    <x v="11"/>
    <x v="0"/>
  </r>
  <r>
    <x v="0"/>
    <x v="2"/>
    <x v="3"/>
    <s v="Medium"/>
    <n v="1496"/>
    <n v="120"/>
    <n v="350"/>
    <n v="523600"/>
    <n v="31416"/>
    <n v="492184"/>
    <n v="388960"/>
    <n v="103224"/>
    <d v="2014-06-01T00:00:00"/>
    <x v="1"/>
    <x v="1"/>
    <x v="0"/>
  </r>
  <r>
    <x v="0"/>
    <x v="3"/>
    <x v="3"/>
    <s v="Medium"/>
    <n v="1498"/>
    <n v="120"/>
    <n v="7"/>
    <n v="10486"/>
    <n v="629.16"/>
    <n v="9856.84"/>
    <n v="7490"/>
    <n v="2366.84"/>
    <d v="2014-06-01T00:00:00"/>
    <x v="1"/>
    <x v="1"/>
    <x v="0"/>
  </r>
  <r>
    <x v="4"/>
    <x v="2"/>
    <x v="3"/>
    <s v="Medium"/>
    <n v="1221"/>
    <n v="120"/>
    <n v="300"/>
    <n v="366300"/>
    <n v="21978"/>
    <n v="344322"/>
    <n v="305250"/>
    <n v="39072"/>
    <d v="2013-10-01T00:00:00"/>
    <x v="7"/>
    <x v="7"/>
    <x v="1"/>
  </r>
  <r>
    <x v="0"/>
    <x v="2"/>
    <x v="3"/>
    <s v="Medium"/>
    <n v="2076"/>
    <n v="120"/>
    <n v="350"/>
    <n v="726600"/>
    <n v="43596"/>
    <n v="683004"/>
    <n v="539760"/>
    <n v="143244"/>
    <d v="2013-10-01T00:00:00"/>
    <x v="7"/>
    <x v="7"/>
    <x v="1"/>
  </r>
  <r>
    <x v="1"/>
    <x v="0"/>
    <x v="4"/>
    <s v="Medium"/>
    <n v="2844"/>
    <n v="250"/>
    <n v="15"/>
    <n v="42660"/>
    <n v="2559.6"/>
    <n v="40100.400000000001"/>
    <n v="28440"/>
    <n v="11660.400000000001"/>
    <d v="2014-06-01T00:00:00"/>
    <x v="1"/>
    <x v="1"/>
    <x v="0"/>
  </r>
  <r>
    <x v="0"/>
    <x v="3"/>
    <x v="4"/>
    <s v="Medium"/>
    <n v="1498"/>
    <n v="250"/>
    <n v="7"/>
    <n v="10486"/>
    <n v="629.16"/>
    <n v="9856.84"/>
    <n v="7490"/>
    <n v="2366.84"/>
    <d v="2014-06-01T00:00:00"/>
    <x v="1"/>
    <x v="1"/>
    <x v="0"/>
  </r>
  <r>
    <x v="4"/>
    <x v="2"/>
    <x v="4"/>
    <s v="Medium"/>
    <n v="1221"/>
    <n v="250"/>
    <n v="300"/>
    <n v="366300"/>
    <n v="21978"/>
    <n v="344322"/>
    <n v="305250"/>
    <n v="39072"/>
    <d v="2013-10-01T00:00:00"/>
    <x v="7"/>
    <x v="7"/>
    <x v="1"/>
  </r>
  <r>
    <x v="0"/>
    <x v="3"/>
    <x v="4"/>
    <s v="Medium"/>
    <n v="1123"/>
    <n v="250"/>
    <n v="20"/>
    <n v="22460"/>
    <n v="1347.6"/>
    <n v="21112.400000000001"/>
    <n v="11230"/>
    <n v="9882.4000000000015"/>
    <d v="2013-11-01T00:00:00"/>
    <x v="9"/>
    <x v="9"/>
    <x v="1"/>
  </r>
  <r>
    <x v="4"/>
    <x v="0"/>
    <x v="4"/>
    <s v="Medium"/>
    <n v="2436"/>
    <n v="250"/>
    <n v="300"/>
    <n v="730800"/>
    <n v="43848"/>
    <n v="686952"/>
    <n v="609000"/>
    <n v="77952"/>
    <d v="2013-12-01T00:00:00"/>
    <x v="2"/>
    <x v="2"/>
    <x v="1"/>
  </r>
  <r>
    <x v="3"/>
    <x v="2"/>
    <x v="5"/>
    <s v="Medium"/>
    <n v="1987.5"/>
    <n v="260"/>
    <n v="125"/>
    <n v="248437.5"/>
    <n v="14906.25"/>
    <n v="233531.25"/>
    <n v="238500"/>
    <n v="-4968.75"/>
    <d v="2014-01-01T00:00:00"/>
    <x v="0"/>
    <x v="0"/>
    <x v="0"/>
  </r>
  <r>
    <x v="0"/>
    <x v="3"/>
    <x v="5"/>
    <s v="Medium"/>
    <n v="1679"/>
    <n v="260"/>
    <n v="350"/>
    <n v="587650"/>
    <n v="35259"/>
    <n v="552391"/>
    <n v="436540"/>
    <n v="115851"/>
    <d v="2014-09-01T00:00:00"/>
    <x v="6"/>
    <x v="6"/>
    <x v="0"/>
  </r>
  <r>
    <x v="0"/>
    <x v="4"/>
    <x v="5"/>
    <s v="Medium"/>
    <n v="727"/>
    <n v="260"/>
    <n v="350"/>
    <n v="254450"/>
    <n v="15267"/>
    <n v="239183"/>
    <n v="189020"/>
    <n v="50163"/>
    <d v="2013-10-01T00:00:00"/>
    <x v="7"/>
    <x v="7"/>
    <x v="1"/>
  </r>
  <r>
    <x v="0"/>
    <x v="2"/>
    <x v="5"/>
    <s v="Medium"/>
    <n v="1403"/>
    <n v="260"/>
    <n v="7"/>
    <n v="9821"/>
    <n v="589.26"/>
    <n v="9231.74"/>
    <n v="7015"/>
    <n v="2216.7399999999998"/>
    <d v="2013-10-01T00:00:00"/>
    <x v="7"/>
    <x v="7"/>
    <x v="1"/>
  </r>
  <r>
    <x v="0"/>
    <x v="2"/>
    <x v="5"/>
    <s v="Medium"/>
    <n v="2076"/>
    <n v="260"/>
    <n v="350"/>
    <n v="726600"/>
    <n v="43596"/>
    <n v="683004"/>
    <n v="539760"/>
    <n v="143244"/>
    <d v="2013-10-01T00:00:00"/>
    <x v="7"/>
    <x v="7"/>
    <x v="1"/>
  </r>
  <r>
    <x v="0"/>
    <x v="2"/>
    <x v="1"/>
    <s v="Medium"/>
    <n v="1757"/>
    <n v="5"/>
    <n v="20"/>
    <n v="35140"/>
    <n v="2108.4"/>
    <n v="33031.599999999999"/>
    <n v="17570"/>
    <n v="15461.599999999999"/>
    <d v="2013-10-01T00:00:00"/>
    <x v="7"/>
    <x v="7"/>
    <x v="1"/>
  </r>
  <r>
    <x v="1"/>
    <x v="4"/>
    <x v="2"/>
    <s v="Medium"/>
    <n v="2198"/>
    <n v="10"/>
    <n v="15"/>
    <n v="32970"/>
    <n v="1978.2"/>
    <n v="30991.8"/>
    <n v="21980"/>
    <n v="9011.7999999999993"/>
    <d v="2014-08-01T00:00:00"/>
    <x v="5"/>
    <x v="5"/>
    <x v="0"/>
  </r>
  <r>
    <x v="1"/>
    <x v="1"/>
    <x v="2"/>
    <s v="Medium"/>
    <n v="1743"/>
    <n v="10"/>
    <n v="15"/>
    <n v="26145"/>
    <n v="1568.7"/>
    <n v="24576.3"/>
    <n v="17430"/>
    <n v="7146.2999999999993"/>
    <d v="2014-08-01T00:00:00"/>
    <x v="5"/>
    <x v="5"/>
    <x v="0"/>
  </r>
  <r>
    <x v="1"/>
    <x v="4"/>
    <x v="2"/>
    <s v="Medium"/>
    <n v="1153"/>
    <n v="10"/>
    <n v="15"/>
    <n v="17295"/>
    <n v="1037.7"/>
    <n v="16257.3"/>
    <n v="11530"/>
    <n v="4727.2999999999993"/>
    <d v="2014-10-01T00:00:00"/>
    <x v="7"/>
    <x v="7"/>
    <x v="0"/>
  </r>
  <r>
    <x v="0"/>
    <x v="2"/>
    <x v="2"/>
    <s v="Medium"/>
    <n v="1757"/>
    <n v="10"/>
    <n v="20"/>
    <n v="35140"/>
    <n v="2108.4"/>
    <n v="33031.599999999999"/>
    <n v="17570"/>
    <n v="15461.599999999999"/>
    <d v="2013-10-01T00:00:00"/>
    <x v="7"/>
    <x v="7"/>
    <x v="1"/>
  </r>
  <r>
    <x v="0"/>
    <x v="1"/>
    <x v="3"/>
    <s v="Medium"/>
    <n v="1001"/>
    <n v="120"/>
    <n v="20"/>
    <n v="20020"/>
    <n v="1201.2"/>
    <n v="18818.8"/>
    <n v="10010"/>
    <n v="8808.7999999999993"/>
    <d v="2014-08-01T00:00:00"/>
    <x v="5"/>
    <x v="5"/>
    <x v="0"/>
  </r>
  <r>
    <x v="0"/>
    <x v="3"/>
    <x v="3"/>
    <s v="Medium"/>
    <n v="1333"/>
    <n v="120"/>
    <n v="7"/>
    <n v="9331"/>
    <n v="559.86"/>
    <n v="8771.14"/>
    <n v="6665"/>
    <n v="2106.1399999999994"/>
    <d v="2014-11-01T00:00:00"/>
    <x v="9"/>
    <x v="9"/>
    <x v="0"/>
  </r>
  <r>
    <x v="1"/>
    <x v="4"/>
    <x v="4"/>
    <s v="Medium"/>
    <n v="1153"/>
    <n v="250"/>
    <n v="15"/>
    <n v="17295"/>
    <n v="1037.7"/>
    <n v="16257.3"/>
    <n v="11530"/>
    <n v="4727.2999999999993"/>
    <d v="2014-10-01T00:00:00"/>
    <x v="7"/>
    <x v="7"/>
    <x v="0"/>
  </r>
  <r>
    <x v="2"/>
    <x v="3"/>
    <x v="0"/>
    <s v="Medium"/>
    <n v="727"/>
    <n v="3"/>
    <n v="12"/>
    <n v="8724"/>
    <n v="610.67999999999995"/>
    <n v="8113.32"/>
    <n v="2181"/>
    <n v="5932.32"/>
    <d v="2014-02-01T00:00:00"/>
    <x v="8"/>
    <x v="8"/>
    <x v="0"/>
  </r>
  <r>
    <x v="2"/>
    <x v="0"/>
    <x v="0"/>
    <s v="Medium"/>
    <n v="1884"/>
    <n v="3"/>
    <n v="12"/>
    <n v="22608"/>
    <n v="1582.56"/>
    <n v="21025.439999999999"/>
    <n v="5652"/>
    <n v="15373.439999999999"/>
    <d v="2014-08-01T00:00:00"/>
    <x v="5"/>
    <x v="5"/>
    <x v="0"/>
  </r>
  <r>
    <x v="0"/>
    <x v="3"/>
    <x v="0"/>
    <s v="Medium"/>
    <n v="1834"/>
    <n v="3"/>
    <n v="20"/>
    <n v="36680"/>
    <n v="2567.6"/>
    <n v="34112.400000000001"/>
    <n v="18340"/>
    <n v="15772.400000000001"/>
    <d v="2013-09-01T00:00:00"/>
    <x v="6"/>
    <x v="6"/>
    <x v="1"/>
  </r>
  <r>
    <x v="2"/>
    <x v="3"/>
    <x v="1"/>
    <s v="Medium"/>
    <n v="2340"/>
    <n v="5"/>
    <n v="12"/>
    <n v="28080"/>
    <n v="1965.6"/>
    <n v="26114.400000000001"/>
    <n v="7020"/>
    <n v="19094.400000000001"/>
    <d v="2014-01-01T00:00:00"/>
    <x v="0"/>
    <x v="0"/>
    <x v="0"/>
  </r>
  <r>
    <x v="2"/>
    <x v="2"/>
    <x v="1"/>
    <s v="Medium"/>
    <n v="2342"/>
    <n v="5"/>
    <n v="12"/>
    <n v="28104"/>
    <n v="1967.28"/>
    <n v="26136.720000000001"/>
    <n v="7026"/>
    <n v="19110.72"/>
    <d v="2014-11-01T00:00:00"/>
    <x v="9"/>
    <x v="9"/>
    <x v="0"/>
  </r>
  <r>
    <x v="0"/>
    <x v="2"/>
    <x v="2"/>
    <s v="Medium"/>
    <n v="1031"/>
    <n v="10"/>
    <n v="7"/>
    <n v="7217"/>
    <n v="505.19"/>
    <n v="6711.81"/>
    <n v="5155"/>
    <n v="1556.8100000000004"/>
    <d v="2013-09-01T00:00:00"/>
    <x v="6"/>
    <x v="6"/>
    <x v="1"/>
  </r>
  <r>
    <x v="1"/>
    <x v="0"/>
    <x v="3"/>
    <s v="Medium"/>
    <n v="1262"/>
    <n v="120"/>
    <n v="15"/>
    <n v="18930"/>
    <n v="1325.1"/>
    <n v="17604.900000000001"/>
    <n v="12620"/>
    <n v="4984.9000000000015"/>
    <d v="2014-05-01T00:00:00"/>
    <x v="11"/>
    <x v="11"/>
    <x v="0"/>
  </r>
  <r>
    <x v="0"/>
    <x v="0"/>
    <x v="3"/>
    <s v="Medium"/>
    <n v="1135"/>
    <n v="120"/>
    <n v="7"/>
    <n v="7945"/>
    <n v="556.15"/>
    <n v="7388.85"/>
    <n v="5675"/>
    <n v="1713.8500000000004"/>
    <d v="2014-06-01T00:00:00"/>
    <x v="1"/>
    <x v="1"/>
    <x v="0"/>
  </r>
  <r>
    <x v="0"/>
    <x v="4"/>
    <x v="3"/>
    <s v="Medium"/>
    <n v="547"/>
    <n v="120"/>
    <n v="7"/>
    <n v="3829"/>
    <n v="268.02999999999997"/>
    <n v="3560.9700000000003"/>
    <n v="2735"/>
    <n v="825.97000000000025"/>
    <d v="2014-11-01T00:00:00"/>
    <x v="9"/>
    <x v="9"/>
    <x v="0"/>
  </r>
  <r>
    <x v="0"/>
    <x v="0"/>
    <x v="3"/>
    <s v="Medium"/>
    <n v="1582"/>
    <n v="120"/>
    <n v="7"/>
    <n v="11074"/>
    <n v="775.18"/>
    <n v="10298.82"/>
    <n v="7910"/>
    <n v="2388.8199999999997"/>
    <d v="2014-12-01T00:00:00"/>
    <x v="2"/>
    <x v="2"/>
    <x v="0"/>
  </r>
  <r>
    <x v="2"/>
    <x v="2"/>
    <x v="4"/>
    <s v="Medium"/>
    <n v="1738.5"/>
    <n v="250"/>
    <n v="12"/>
    <n v="20862"/>
    <n v="1460.34"/>
    <n v="19401.66"/>
    <n v="5215.5"/>
    <n v="14186.16"/>
    <d v="2014-04-01T00:00:00"/>
    <x v="10"/>
    <x v="10"/>
    <x v="0"/>
  </r>
  <r>
    <x v="2"/>
    <x v="1"/>
    <x v="4"/>
    <s v="Medium"/>
    <n v="2215"/>
    <n v="250"/>
    <n v="12"/>
    <n v="26580"/>
    <n v="1860.6"/>
    <n v="24719.4"/>
    <n v="6645"/>
    <n v="18074.400000000001"/>
    <d v="2013-09-01T00:00:00"/>
    <x v="6"/>
    <x v="6"/>
    <x v="1"/>
  </r>
  <r>
    <x v="0"/>
    <x v="0"/>
    <x v="4"/>
    <s v="Medium"/>
    <n v="1582"/>
    <n v="250"/>
    <n v="7"/>
    <n v="11074"/>
    <n v="775.18"/>
    <n v="10298.82"/>
    <n v="7910"/>
    <n v="2388.8199999999997"/>
    <d v="2014-12-01T00:00:00"/>
    <x v="2"/>
    <x v="2"/>
    <x v="0"/>
  </r>
  <r>
    <x v="0"/>
    <x v="0"/>
    <x v="5"/>
    <s v="Medium"/>
    <n v="1135"/>
    <n v="260"/>
    <n v="7"/>
    <n v="7945"/>
    <n v="556.15"/>
    <n v="7388.85"/>
    <n v="5675"/>
    <n v="1713.8500000000004"/>
    <d v="2014-06-01T00:00:00"/>
    <x v="1"/>
    <x v="1"/>
    <x v="0"/>
  </r>
  <r>
    <x v="0"/>
    <x v="4"/>
    <x v="0"/>
    <s v="Medium"/>
    <n v="1761"/>
    <n v="3"/>
    <n v="350"/>
    <n v="616350"/>
    <n v="43144.5"/>
    <n v="573205.5"/>
    <n v="457860"/>
    <n v="115345.5"/>
    <d v="2014-03-01T00:00:00"/>
    <x v="3"/>
    <x v="3"/>
    <x v="0"/>
  </r>
  <r>
    <x v="4"/>
    <x v="2"/>
    <x v="0"/>
    <s v="Medium"/>
    <n v="448"/>
    <n v="3"/>
    <n v="300"/>
    <n v="134400"/>
    <n v="9408"/>
    <n v="124992"/>
    <n v="112000"/>
    <n v="12992"/>
    <d v="2014-06-01T00:00:00"/>
    <x v="1"/>
    <x v="1"/>
    <x v="0"/>
  </r>
  <r>
    <x v="4"/>
    <x v="2"/>
    <x v="0"/>
    <s v="Medium"/>
    <n v="2181"/>
    <n v="3"/>
    <n v="300"/>
    <n v="654300"/>
    <n v="45801"/>
    <n v="608499"/>
    <n v="545250"/>
    <n v="63249"/>
    <d v="2014-10-01T00:00:00"/>
    <x v="7"/>
    <x v="7"/>
    <x v="0"/>
  </r>
  <r>
    <x v="0"/>
    <x v="2"/>
    <x v="1"/>
    <s v="Medium"/>
    <n v="1976"/>
    <n v="5"/>
    <n v="20"/>
    <n v="39520"/>
    <n v="2766.4"/>
    <n v="36753.599999999999"/>
    <n v="19760"/>
    <n v="16993.599999999999"/>
    <d v="2014-10-01T00:00:00"/>
    <x v="7"/>
    <x v="7"/>
    <x v="0"/>
  </r>
  <r>
    <x v="4"/>
    <x v="2"/>
    <x v="1"/>
    <s v="Medium"/>
    <n v="2181"/>
    <n v="5"/>
    <n v="300"/>
    <n v="654300"/>
    <n v="45801"/>
    <n v="608499"/>
    <n v="545250"/>
    <n v="63249"/>
    <d v="2014-10-01T00:00:00"/>
    <x v="7"/>
    <x v="7"/>
    <x v="0"/>
  </r>
  <r>
    <x v="3"/>
    <x v="1"/>
    <x v="1"/>
    <s v="Medium"/>
    <n v="2500"/>
    <n v="5"/>
    <n v="125"/>
    <n v="312500"/>
    <n v="21875"/>
    <n v="290625"/>
    <n v="300000"/>
    <n v="-9375"/>
    <d v="2013-11-01T00:00:00"/>
    <x v="9"/>
    <x v="9"/>
    <x v="1"/>
  </r>
  <r>
    <x v="4"/>
    <x v="0"/>
    <x v="2"/>
    <s v="Medium"/>
    <n v="1702"/>
    <n v="10"/>
    <n v="300"/>
    <n v="510600"/>
    <n v="35742"/>
    <n v="474858"/>
    <n v="425500"/>
    <n v="49358"/>
    <d v="2014-05-01T00:00:00"/>
    <x v="11"/>
    <x v="11"/>
    <x v="0"/>
  </r>
  <r>
    <x v="4"/>
    <x v="2"/>
    <x v="2"/>
    <s v="Medium"/>
    <n v="448"/>
    <n v="10"/>
    <n v="300"/>
    <n v="134400"/>
    <n v="9408"/>
    <n v="124992"/>
    <n v="112000"/>
    <n v="12992"/>
    <d v="2014-06-01T00:00:00"/>
    <x v="1"/>
    <x v="1"/>
    <x v="0"/>
  </r>
  <r>
    <x v="3"/>
    <x v="1"/>
    <x v="2"/>
    <s v="Medium"/>
    <n v="3513"/>
    <n v="10"/>
    <n v="125"/>
    <n v="439125"/>
    <n v="30738.75"/>
    <n v="408386.25"/>
    <n v="421560"/>
    <n v="-13173.75"/>
    <d v="2014-07-01T00:00:00"/>
    <x v="4"/>
    <x v="4"/>
    <x v="0"/>
  </r>
  <r>
    <x v="1"/>
    <x v="2"/>
    <x v="2"/>
    <s v="Medium"/>
    <n v="2101"/>
    <n v="10"/>
    <n v="15"/>
    <n v="31515"/>
    <n v="2206.0500000000002"/>
    <n v="29308.95"/>
    <n v="21010"/>
    <n v="8298.9500000000007"/>
    <d v="2014-08-01T00:00:00"/>
    <x v="5"/>
    <x v="5"/>
    <x v="0"/>
  </r>
  <r>
    <x v="1"/>
    <x v="4"/>
    <x v="2"/>
    <s v="Medium"/>
    <n v="2931"/>
    <n v="10"/>
    <n v="15"/>
    <n v="43965"/>
    <n v="3077.55"/>
    <n v="40887.449999999997"/>
    <n v="29310"/>
    <n v="11577.449999999997"/>
    <d v="2013-09-01T00:00:00"/>
    <x v="6"/>
    <x v="6"/>
    <x v="1"/>
  </r>
  <r>
    <x v="0"/>
    <x v="2"/>
    <x v="2"/>
    <s v="Medium"/>
    <n v="1535"/>
    <n v="10"/>
    <n v="20"/>
    <n v="30700"/>
    <n v="2149"/>
    <n v="28551"/>
    <n v="15350"/>
    <n v="13201"/>
    <d v="2014-09-01T00:00:00"/>
    <x v="6"/>
    <x v="6"/>
    <x v="0"/>
  </r>
  <r>
    <x v="4"/>
    <x v="1"/>
    <x v="2"/>
    <s v="Medium"/>
    <n v="1123"/>
    <n v="10"/>
    <n v="300"/>
    <n v="336900"/>
    <n v="23583"/>
    <n v="313317"/>
    <n v="280750"/>
    <n v="32567"/>
    <d v="2013-09-01T00:00:00"/>
    <x v="6"/>
    <x v="6"/>
    <x v="1"/>
  </r>
  <r>
    <x v="4"/>
    <x v="0"/>
    <x v="2"/>
    <s v="Medium"/>
    <n v="1404"/>
    <n v="10"/>
    <n v="300"/>
    <n v="421200"/>
    <n v="29484"/>
    <n v="391716"/>
    <n v="351000"/>
    <n v="40716"/>
    <d v="2013-11-01T00:00:00"/>
    <x v="9"/>
    <x v="9"/>
    <x v="1"/>
  </r>
  <r>
    <x v="2"/>
    <x v="3"/>
    <x v="2"/>
    <s v="Medium"/>
    <n v="2763"/>
    <n v="10"/>
    <n v="12"/>
    <n v="33156"/>
    <n v="2320.92"/>
    <n v="30835.08"/>
    <n v="8289"/>
    <n v="22546.080000000002"/>
    <d v="2013-11-01T00:00:00"/>
    <x v="9"/>
    <x v="9"/>
    <x v="1"/>
  </r>
  <r>
    <x v="0"/>
    <x v="1"/>
    <x v="2"/>
    <s v="Medium"/>
    <n v="2125"/>
    <n v="10"/>
    <n v="7"/>
    <n v="14875"/>
    <n v="1041.25"/>
    <n v="13833.75"/>
    <n v="10625"/>
    <n v="3208.75"/>
    <d v="2013-12-01T00:00:00"/>
    <x v="2"/>
    <x v="2"/>
    <x v="1"/>
  </r>
  <r>
    <x v="4"/>
    <x v="2"/>
    <x v="3"/>
    <s v="Medium"/>
    <n v="1659"/>
    <n v="120"/>
    <n v="300"/>
    <n v="497700"/>
    <n v="34839"/>
    <n v="462861"/>
    <n v="414750"/>
    <n v="48111"/>
    <d v="2014-07-01T00:00:00"/>
    <x v="4"/>
    <x v="4"/>
    <x v="0"/>
  </r>
  <r>
    <x v="0"/>
    <x v="3"/>
    <x v="3"/>
    <s v="Medium"/>
    <n v="609"/>
    <n v="120"/>
    <n v="20"/>
    <n v="12180"/>
    <n v="852.6"/>
    <n v="11327.4"/>
    <n v="6090"/>
    <n v="5237.3999999999996"/>
    <d v="2014-08-01T00:00:00"/>
    <x v="5"/>
    <x v="5"/>
    <x v="0"/>
  </r>
  <r>
    <x v="3"/>
    <x v="1"/>
    <x v="3"/>
    <s v="Medium"/>
    <n v="2087"/>
    <n v="120"/>
    <n v="125"/>
    <n v="260875"/>
    <n v="18261.25"/>
    <n v="242613.75"/>
    <n v="250440"/>
    <n v="-7826.25"/>
    <d v="2014-09-01T00:00:00"/>
    <x v="6"/>
    <x v="6"/>
    <x v="0"/>
  </r>
  <r>
    <x v="0"/>
    <x v="2"/>
    <x v="3"/>
    <s v="Medium"/>
    <n v="1976"/>
    <n v="120"/>
    <n v="20"/>
    <n v="39520"/>
    <n v="2766.4"/>
    <n v="36753.599999999999"/>
    <n v="19760"/>
    <n v="16993.599999999999"/>
    <d v="2014-10-01T00:00:00"/>
    <x v="7"/>
    <x v="7"/>
    <x v="0"/>
  </r>
  <r>
    <x v="0"/>
    <x v="4"/>
    <x v="3"/>
    <s v="Medium"/>
    <n v="1421"/>
    <n v="120"/>
    <n v="20"/>
    <n v="28420"/>
    <n v="1989.4"/>
    <n v="26430.6"/>
    <n v="14210"/>
    <n v="12220.599999999999"/>
    <d v="2013-12-01T00:00:00"/>
    <x v="2"/>
    <x v="2"/>
    <x v="1"/>
  </r>
  <r>
    <x v="4"/>
    <x v="4"/>
    <x v="3"/>
    <s v="Medium"/>
    <n v="1372"/>
    <n v="120"/>
    <n v="300"/>
    <n v="411600"/>
    <n v="28812"/>
    <n v="382788"/>
    <n v="343000"/>
    <n v="39788"/>
    <d v="2014-12-01T00:00:00"/>
    <x v="2"/>
    <x v="2"/>
    <x v="0"/>
  </r>
  <r>
    <x v="0"/>
    <x v="1"/>
    <x v="3"/>
    <s v="Medium"/>
    <n v="588"/>
    <n v="120"/>
    <n v="20"/>
    <n v="11760"/>
    <n v="823.2"/>
    <n v="10936.8"/>
    <n v="5880"/>
    <n v="5056.7999999999993"/>
    <d v="2013-12-01T00:00:00"/>
    <x v="2"/>
    <x v="2"/>
    <x v="1"/>
  </r>
  <r>
    <x v="2"/>
    <x v="0"/>
    <x v="4"/>
    <s v="Medium"/>
    <n v="3244.5"/>
    <n v="250"/>
    <n v="12"/>
    <n v="38934"/>
    <n v="2725.38"/>
    <n v="36208.620000000003"/>
    <n v="9733.5"/>
    <n v="26475.120000000003"/>
    <d v="2014-01-01T00:00:00"/>
    <x v="0"/>
    <x v="0"/>
    <x v="0"/>
  </r>
  <r>
    <x v="4"/>
    <x v="2"/>
    <x v="4"/>
    <s v="Medium"/>
    <n v="959"/>
    <n v="250"/>
    <n v="300"/>
    <n v="287700"/>
    <n v="20139"/>
    <n v="267561"/>
    <n v="239750"/>
    <n v="27811"/>
    <d v="2014-02-01T00:00:00"/>
    <x v="8"/>
    <x v="8"/>
    <x v="0"/>
  </r>
  <r>
    <x v="4"/>
    <x v="3"/>
    <x v="4"/>
    <s v="Medium"/>
    <n v="2747"/>
    <n v="250"/>
    <n v="300"/>
    <n v="824100"/>
    <n v="57687"/>
    <n v="766413"/>
    <n v="686750"/>
    <n v="79663"/>
    <d v="2014-02-01T00:00:00"/>
    <x v="8"/>
    <x v="8"/>
    <x v="0"/>
  </r>
  <r>
    <x v="3"/>
    <x v="0"/>
    <x v="5"/>
    <s v="Medium"/>
    <n v="1645"/>
    <n v="260"/>
    <n v="125"/>
    <n v="205625"/>
    <n v="14393.75"/>
    <n v="191231.25"/>
    <n v="197400"/>
    <n v="-6168.75"/>
    <d v="2014-05-01T00:00:00"/>
    <x v="11"/>
    <x v="11"/>
    <x v="0"/>
  </r>
  <r>
    <x v="0"/>
    <x v="2"/>
    <x v="5"/>
    <s v="Medium"/>
    <n v="2876"/>
    <n v="260"/>
    <n v="350"/>
    <n v="1006600"/>
    <n v="70462"/>
    <n v="936138"/>
    <n v="747760"/>
    <n v="188378"/>
    <d v="2014-09-01T00:00:00"/>
    <x v="6"/>
    <x v="6"/>
    <x v="0"/>
  </r>
  <r>
    <x v="3"/>
    <x v="1"/>
    <x v="5"/>
    <s v="Medium"/>
    <n v="994"/>
    <n v="260"/>
    <n v="125"/>
    <n v="124250"/>
    <n v="8697.5"/>
    <n v="115552.5"/>
    <n v="119280"/>
    <n v="-3727.5"/>
    <d v="2013-09-01T00:00:00"/>
    <x v="6"/>
    <x v="6"/>
    <x v="1"/>
  </r>
  <r>
    <x v="0"/>
    <x v="0"/>
    <x v="5"/>
    <s v="Medium"/>
    <n v="1118"/>
    <n v="260"/>
    <n v="20"/>
    <n v="22360"/>
    <n v="1565.2"/>
    <n v="20794.8"/>
    <n v="11180"/>
    <n v="9614.7999999999993"/>
    <d v="2014-11-01T00:00:00"/>
    <x v="9"/>
    <x v="9"/>
    <x v="0"/>
  </r>
  <r>
    <x v="4"/>
    <x v="4"/>
    <x v="5"/>
    <s v="Medium"/>
    <n v="1372"/>
    <n v="260"/>
    <n v="300"/>
    <n v="411600"/>
    <n v="28812"/>
    <n v="382788"/>
    <n v="343000"/>
    <n v="39788"/>
    <d v="2014-12-01T00:00:00"/>
    <x v="2"/>
    <x v="2"/>
    <x v="0"/>
  </r>
  <r>
    <x v="0"/>
    <x v="0"/>
    <x v="1"/>
    <s v="Medium"/>
    <n v="488"/>
    <n v="5"/>
    <n v="7"/>
    <n v="3416"/>
    <n v="273.27999999999997"/>
    <n v="3142.7200000000003"/>
    <n v="2440"/>
    <n v="702.72000000000025"/>
    <d v="2014-02-01T00:00:00"/>
    <x v="8"/>
    <x v="8"/>
    <x v="0"/>
  </r>
  <r>
    <x v="0"/>
    <x v="4"/>
    <x v="1"/>
    <s v="Medium"/>
    <n v="1282"/>
    <n v="5"/>
    <n v="20"/>
    <n v="25640"/>
    <n v="2051.1999999999998"/>
    <n v="23588.799999999999"/>
    <n v="12820"/>
    <n v="10768.8"/>
    <d v="2014-06-01T00:00:00"/>
    <x v="1"/>
    <x v="1"/>
    <x v="0"/>
  </r>
  <r>
    <x v="0"/>
    <x v="0"/>
    <x v="2"/>
    <s v="Medium"/>
    <n v="257"/>
    <n v="10"/>
    <n v="7"/>
    <n v="1799"/>
    <n v="143.91999999999999"/>
    <n v="1655.08"/>
    <n v="1285"/>
    <n v="370.07999999999993"/>
    <d v="2014-05-01T00:00:00"/>
    <x v="11"/>
    <x v="11"/>
    <x v="0"/>
  </r>
  <r>
    <x v="0"/>
    <x v="4"/>
    <x v="5"/>
    <s v="Medium"/>
    <n v="1282"/>
    <n v="260"/>
    <n v="20"/>
    <n v="25640"/>
    <n v="2051.1999999999998"/>
    <n v="23588.799999999999"/>
    <n v="12820"/>
    <n v="10768.8"/>
    <d v="2014-06-01T00:00:00"/>
    <x v="1"/>
    <x v="1"/>
    <x v="0"/>
  </r>
  <r>
    <x v="3"/>
    <x v="3"/>
    <x v="0"/>
    <s v="Medium"/>
    <n v="1540"/>
    <n v="3"/>
    <n v="125"/>
    <n v="192500"/>
    <n v="15400"/>
    <n v="177100"/>
    <n v="184800"/>
    <n v="-7700"/>
    <d v="2014-08-01T00:00:00"/>
    <x v="5"/>
    <x v="5"/>
    <x v="0"/>
  </r>
  <r>
    <x v="1"/>
    <x v="2"/>
    <x v="0"/>
    <s v="Medium"/>
    <n v="490"/>
    <n v="3"/>
    <n v="15"/>
    <n v="7350"/>
    <n v="588"/>
    <n v="6762"/>
    <n v="4900"/>
    <n v="1862"/>
    <d v="2014-11-01T00:00:00"/>
    <x v="9"/>
    <x v="9"/>
    <x v="0"/>
  </r>
  <r>
    <x v="0"/>
    <x v="3"/>
    <x v="0"/>
    <s v="Medium"/>
    <n v="1362"/>
    <n v="3"/>
    <n v="350"/>
    <n v="476700"/>
    <n v="38136"/>
    <n v="438564"/>
    <n v="354120"/>
    <n v="84444"/>
    <d v="2014-12-01T00:00:00"/>
    <x v="2"/>
    <x v="2"/>
    <x v="0"/>
  </r>
  <r>
    <x v="1"/>
    <x v="2"/>
    <x v="1"/>
    <s v="Medium"/>
    <n v="2501"/>
    <n v="5"/>
    <n v="15"/>
    <n v="37515"/>
    <n v="3001.2"/>
    <n v="34513.800000000003"/>
    <n v="25010"/>
    <n v="9503.8000000000029"/>
    <d v="2014-03-01T00:00:00"/>
    <x v="3"/>
    <x v="3"/>
    <x v="0"/>
  </r>
  <r>
    <x v="0"/>
    <x v="0"/>
    <x v="1"/>
    <s v="Medium"/>
    <n v="708"/>
    <n v="5"/>
    <n v="20"/>
    <n v="14160"/>
    <n v="1132.8"/>
    <n v="13027.2"/>
    <n v="7080"/>
    <n v="5947.2000000000007"/>
    <d v="2014-06-01T00:00:00"/>
    <x v="1"/>
    <x v="1"/>
    <x v="0"/>
  </r>
  <r>
    <x v="0"/>
    <x v="1"/>
    <x v="1"/>
    <s v="Medium"/>
    <n v="645"/>
    <n v="5"/>
    <n v="20"/>
    <n v="12900"/>
    <n v="1032"/>
    <n v="11868"/>
    <n v="6450"/>
    <n v="5418"/>
    <d v="2014-07-01T00:00:00"/>
    <x v="4"/>
    <x v="4"/>
    <x v="0"/>
  </r>
  <r>
    <x v="4"/>
    <x v="2"/>
    <x v="1"/>
    <s v="Medium"/>
    <n v="1562"/>
    <n v="5"/>
    <n v="300"/>
    <n v="468600"/>
    <n v="37488"/>
    <n v="431112"/>
    <n v="390500"/>
    <n v="40612"/>
    <d v="2014-08-01T00:00:00"/>
    <x v="5"/>
    <x v="5"/>
    <x v="0"/>
  </r>
  <r>
    <x v="4"/>
    <x v="0"/>
    <x v="1"/>
    <s v="Medium"/>
    <n v="1283"/>
    <n v="5"/>
    <n v="300"/>
    <n v="384900"/>
    <n v="30792"/>
    <n v="354108"/>
    <n v="320750"/>
    <n v="33358"/>
    <d v="2013-09-01T00:00:00"/>
    <x v="6"/>
    <x v="6"/>
    <x v="1"/>
  </r>
  <r>
    <x v="1"/>
    <x v="1"/>
    <x v="1"/>
    <s v="Medium"/>
    <n v="711"/>
    <n v="5"/>
    <n v="15"/>
    <n v="10665"/>
    <n v="853.2"/>
    <n v="9811.7999999999993"/>
    <n v="7110"/>
    <n v="2701.7999999999993"/>
    <d v="2014-12-01T00:00:00"/>
    <x v="2"/>
    <x v="2"/>
    <x v="0"/>
  </r>
  <r>
    <x v="3"/>
    <x v="3"/>
    <x v="2"/>
    <s v="Medium"/>
    <n v="1114"/>
    <n v="10"/>
    <n v="125"/>
    <n v="139250"/>
    <n v="11140"/>
    <n v="128110"/>
    <n v="133680"/>
    <n v="-5570"/>
    <d v="2014-03-01T00:00:00"/>
    <x v="3"/>
    <x v="3"/>
    <x v="0"/>
  </r>
  <r>
    <x v="0"/>
    <x v="1"/>
    <x v="2"/>
    <s v="Medium"/>
    <n v="1259"/>
    <n v="10"/>
    <n v="7"/>
    <n v="8813"/>
    <n v="705.04"/>
    <n v="8107.96"/>
    <n v="6295"/>
    <n v="1812.96"/>
    <d v="2014-04-01T00:00:00"/>
    <x v="10"/>
    <x v="10"/>
    <x v="0"/>
  </r>
  <r>
    <x v="0"/>
    <x v="1"/>
    <x v="2"/>
    <s v="Medium"/>
    <n v="1095"/>
    <n v="10"/>
    <n v="7"/>
    <n v="7665"/>
    <n v="613.20000000000005"/>
    <n v="7051.8"/>
    <n v="5475"/>
    <n v="1576.8000000000002"/>
    <d v="2014-05-01T00:00:00"/>
    <x v="11"/>
    <x v="11"/>
    <x v="0"/>
  </r>
  <r>
    <x v="0"/>
    <x v="1"/>
    <x v="2"/>
    <s v="Medium"/>
    <n v="1366"/>
    <n v="10"/>
    <n v="20"/>
    <n v="27320"/>
    <n v="2185.6"/>
    <n v="25134.400000000001"/>
    <n v="13660"/>
    <n v="11474.400000000001"/>
    <d v="2014-06-01T00:00:00"/>
    <x v="1"/>
    <x v="1"/>
    <x v="0"/>
  </r>
  <r>
    <x v="4"/>
    <x v="3"/>
    <x v="2"/>
    <s v="Medium"/>
    <n v="2460"/>
    <n v="10"/>
    <n v="300"/>
    <n v="738000"/>
    <n v="59040"/>
    <n v="678960"/>
    <n v="615000"/>
    <n v="63960"/>
    <d v="2014-06-01T00:00:00"/>
    <x v="1"/>
    <x v="1"/>
    <x v="0"/>
  </r>
  <r>
    <x v="0"/>
    <x v="4"/>
    <x v="2"/>
    <s v="Medium"/>
    <n v="678"/>
    <n v="10"/>
    <n v="7"/>
    <n v="4746"/>
    <n v="379.68"/>
    <n v="4366.32"/>
    <n v="3390"/>
    <n v="976.31999999999971"/>
    <d v="2014-08-01T00:00:00"/>
    <x v="5"/>
    <x v="5"/>
    <x v="0"/>
  </r>
  <r>
    <x v="0"/>
    <x v="1"/>
    <x v="2"/>
    <s v="Medium"/>
    <n v="1598"/>
    <n v="10"/>
    <n v="7"/>
    <n v="11186"/>
    <n v="894.88"/>
    <n v="10291.120000000001"/>
    <n v="7990"/>
    <n v="2301.1200000000008"/>
    <d v="2014-08-01T00:00:00"/>
    <x v="5"/>
    <x v="5"/>
    <x v="0"/>
  </r>
  <r>
    <x v="0"/>
    <x v="1"/>
    <x v="2"/>
    <s v="Medium"/>
    <n v="2409"/>
    <n v="10"/>
    <n v="7"/>
    <n v="16863"/>
    <n v="1349.04"/>
    <n v="15513.96"/>
    <n v="12045"/>
    <n v="3468.9599999999991"/>
    <d v="2013-09-01T00:00:00"/>
    <x v="6"/>
    <x v="6"/>
    <x v="1"/>
  </r>
  <r>
    <x v="0"/>
    <x v="1"/>
    <x v="2"/>
    <s v="Medium"/>
    <n v="1934"/>
    <n v="10"/>
    <n v="20"/>
    <n v="38680"/>
    <n v="3094.4"/>
    <n v="35585.599999999999"/>
    <n v="19340"/>
    <n v="16245.599999999999"/>
    <d v="2014-09-01T00:00:00"/>
    <x v="6"/>
    <x v="6"/>
    <x v="0"/>
  </r>
  <r>
    <x v="0"/>
    <x v="3"/>
    <x v="2"/>
    <s v="Medium"/>
    <n v="2993"/>
    <n v="10"/>
    <n v="20"/>
    <n v="59860"/>
    <n v="4788.8"/>
    <n v="55071.199999999997"/>
    <n v="29930"/>
    <n v="25141.199999999997"/>
    <d v="2014-09-01T00:00:00"/>
    <x v="6"/>
    <x v="6"/>
    <x v="0"/>
  </r>
  <r>
    <x v="0"/>
    <x v="1"/>
    <x v="2"/>
    <s v="Medium"/>
    <n v="2146"/>
    <n v="10"/>
    <n v="350"/>
    <n v="751100"/>
    <n v="60088"/>
    <n v="691012"/>
    <n v="557960"/>
    <n v="133052"/>
    <d v="2013-11-01T00:00:00"/>
    <x v="9"/>
    <x v="9"/>
    <x v="1"/>
  </r>
  <r>
    <x v="0"/>
    <x v="3"/>
    <x v="2"/>
    <s v="Medium"/>
    <n v="1946"/>
    <n v="10"/>
    <n v="7"/>
    <n v="13622"/>
    <n v="1089.76"/>
    <n v="12532.24"/>
    <n v="9730"/>
    <n v="2802.24"/>
    <d v="2013-12-01T00:00:00"/>
    <x v="2"/>
    <x v="2"/>
    <x v="1"/>
  </r>
  <r>
    <x v="0"/>
    <x v="3"/>
    <x v="2"/>
    <s v="Medium"/>
    <n v="1362"/>
    <n v="10"/>
    <n v="350"/>
    <n v="476700"/>
    <n v="38136"/>
    <n v="438564"/>
    <n v="354120"/>
    <n v="84444"/>
    <d v="2014-12-01T00:00:00"/>
    <x v="2"/>
    <x v="2"/>
    <x v="0"/>
  </r>
  <r>
    <x v="2"/>
    <x v="0"/>
    <x v="3"/>
    <s v="Medium"/>
    <n v="598"/>
    <n v="120"/>
    <n v="12"/>
    <n v="7176"/>
    <n v="574.08000000000004"/>
    <n v="6601.92"/>
    <n v="1794"/>
    <n v="4807.92"/>
    <d v="2014-03-01T00:00:00"/>
    <x v="3"/>
    <x v="3"/>
    <x v="0"/>
  </r>
  <r>
    <x v="0"/>
    <x v="4"/>
    <x v="3"/>
    <s v="Medium"/>
    <n v="2907"/>
    <n v="120"/>
    <n v="7"/>
    <n v="20349"/>
    <n v="1627.92"/>
    <n v="18721.080000000002"/>
    <n v="14535"/>
    <n v="4186.0800000000017"/>
    <d v="2014-06-01T00:00:00"/>
    <x v="1"/>
    <x v="1"/>
    <x v="0"/>
  </r>
  <r>
    <x v="0"/>
    <x v="1"/>
    <x v="3"/>
    <s v="Medium"/>
    <n v="2338"/>
    <n v="120"/>
    <n v="7"/>
    <n v="16366"/>
    <n v="1309.28"/>
    <n v="15056.72"/>
    <n v="11690"/>
    <n v="3366.7199999999993"/>
    <d v="2014-06-01T00:00:00"/>
    <x v="1"/>
    <x v="1"/>
    <x v="0"/>
  </r>
  <r>
    <x v="4"/>
    <x v="2"/>
    <x v="3"/>
    <s v="Medium"/>
    <n v="386"/>
    <n v="120"/>
    <n v="300"/>
    <n v="115800"/>
    <n v="9264"/>
    <n v="106536"/>
    <n v="96500"/>
    <n v="10036"/>
    <d v="2013-11-01T00:00:00"/>
    <x v="9"/>
    <x v="9"/>
    <x v="1"/>
  </r>
  <r>
    <x v="4"/>
    <x v="3"/>
    <x v="3"/>
    <s v="Medium"/>
    <n v="635"/>
    <n v="120"/>
    <n v="300"/>
    <n v="190500"/>
    <n v="15240"/>
    <n v="175260"/>
    <n v="158750"/>
    <n v="16510"/>
    <d v="2014-12-01T00:00:00"/>
    <x v="2"/>
    <x v="2"/>
    <x v="0"/>
  </r>
  <r>
    <x v="0"/>
    <x v="2"/>
    <x v="4"/>
    <s v="Medium"/>
    <n v="574.5"/>
    <n v="250"/>
    <n v="350"/>
    <n v="201075"/>
    <n v="16086"/>
    <n v="184989"/>
    <n v="149370"/>
    <n v="35619"/>
    <d v="2014-04-01T00:00:00"/>
    <x v="10"/>
    <x v="10"/>
    <x v="0"/>
  </r>
  <r>
    <x v="0"/>
    <x v="1"/>
    <x v="4"/>
    <s v="Medium"/>
    <n v="2338"/>
    <n v="250"/>
    <n v="7"/>
    <n v="16366"/>
    <n v="1309.28"/>
    <n v="15056.72"/>
    <n v="11690"/>
    <n v="3366.7199999999993"/>
    <d v="2014-06-01T00:00:00"/>
    <x v="1"/>
    <x v="1"/>
    <x v="0"/>
  </r>
  <r>
    <x v="0"/>
    <x v="2"/>
    <x v="4"/>
    <s v="Medium"/>
    <n v="381"/>
    <n v="250"/>
    <n v="350"/>
    <n v="133350"/>
    <n v="10668"/>
    <n v="122682"/>
    <n v="99060"/>
    <n v="23622"/>
    <d v="2014-08-01T00:00:00"/>
    <x v="5"/>
    <x v="5"/>
    <x v="0"/>
  </r>
  <r>
    <x v="0"/>
    <x v="1"/>
    <x v="4"/>
    <s v="Medium"/>
    <n v="422"/>
    <n v="250"/>
    <n v="350"/>
    <n v="147700"/>
    <n v="11816"/>
    <n v="135884"/>
    <n v="109720"/>
    <n v="26164"/>
    <d v="2014-08-01T00:00:00"/>
    <x v="5"/>
    <x v="5"/>
    <x v="0"/>
  </r>
  <r>
    <x v="4"/>
    <x v="0"/>
    <x v="4"/>
    <s v="Medium"/>
    <n v="2134"/>
    <n v="250"/>
    <n v="300"/>
    <n v="640200"/>
    <n v="51216"/>
    <n v="588984"/>
    <n v="533500"/>
    <n v="55484"/>
    <d v="2014-09-01T00:00:00"/>
    <x v="6"/>
    <x v="6"/>
    <x v="0"/>
  </r>
  <r>
    <x v="4"/>
    <x v="4"/>
    <x v="4"/>
    <s v="Medium"/>
    <n v="808"/>
    <n v="250"/>
    <n v="300"/>
    <n v="242400"/>
    <n v="19392"/>
    <n v="223008"/>
    <n v="202000"/>
    <n v="21008"/>
    <d v="2013-12-01T00:00:00"/>
    <x v="2"/>
    <x v="2"/>
    <x v="1"/>
  </r>
  <r>
    <x v="0"/>
    <x v="0"/>
    <x v="5"/>
    <s v="Medium"/>
    <n v="708"/>
    <n v="260"/>
    <n v="20"/>
    <n v="14160"/>
    <n v="1132.8"/>
    <n v="13027.2"/>
    <n v="7080"/>
    <n v="5947.2000000000007"/>
    <d v="2014-06-01T00:00:00"/>
    <x v="1"/>
    <x v="1"/>
    <x v="0"/>
  </r>
  <r>
    <x v="0"/>
    <x v="4"/>
    <x v="5"/>
    <s v="Medium"/>
    <n v="2907"/>
    <n v="260"/>
    <n v="7"/>
    <n v="20349"/>
    <n v="1627.92"/>
    <n v="18721.080000000002"/>
    <n v="14535"/>
    <n v="4186.0800000000017"/>
    <d v="2014-06-01T00:00:00"/>
    <x v="1"/>
    <x v="1"/>
    <x v="0"/>
  </r>
  <r>
    <x v="0"/>
    <x v="1"/>
    <x v="5"/>
    <s v="Medium"/>
    <n v="1366"/>
    <n v="260"/>
    <n v="20"/>
    <n v="27320"/>
    <n v="2185.6"/>
    <n v="25134.400000000001"/>
    <n v="13660"/>
    <n v="11474.400000000001"/>
    <d v="2014-06-01T00:00:00"/>
    <x v="1"/>
    <x v="1"/>
    <x v="0"/>
  </r>
  <r>
    <x v="4"/>
    <x v="3"/>
    <x v="5"/>
    <s v="Medium"/>
    <n v="2460"/>
    <n v="260"/>
    <n v="300"/>
    <n v="738000"/>
    <n v="59040"/>
    <n v="678960"/>
    <n v="615000"/>
    <n v="63960"/>
    <d v="2014-06-01T00:00:00"/>
    <x v="1"/>
    <x v="1"/>
    <x v="0"/>
  </r>
  <r>
    <x v="0"/>
    <x v="1"/>
    <x v="5"/>
    <s v="Medium"/>
    <n v="1520"/>
    <n v="260"/>
    <n v="20"/>
    <n v="30400"/>
    <n v="2432"/>
    <n v="27968"/>
    <n v="15200"/>
    <n v="12768"/>
    <d v="2014-11-01T00:00:00"/>
    <x v="9"/>
    <x v="9"/>
    <x v="0"/>
  </r>
  <r>
    <x v="1"/>
    <x v="1"/>
    <x v="5"/>
    <s v="Medium"/>
    <n v="711"/>
    <n v="260"/>
    <n v="15"/>
    <n v="10665"/>
    <n v="853.2"/>
    <n v="9811.7999999999993"/>
    <n v="7110"/>
    <n v="2701.7999999999993"/>
    <d v="2014-12-01T00:00:00"/>
    <x v="2"/>
    <x v="2"/>
    <x v="0"/>
  </r>
  <r>
    <x v="2"/>
    <x v="3"/>
    <x v="5"/>
    <s v="Medium"/>
    <n v="1375"/>
    <n v="260"/>
    <n v="12"/>
    <n v="16500"/>
    <n v="1320"/>
    <n v="15180"/>
    <n v="4125"/>
    <n v="11055"/>
    <d v="2013-12-01T00:00:00"/>
    <x v="2"/>
    <x v="2"/>
    <x v="1"/>
  </r>
  <r>
    <x v="4"/>
    <x v="3"/>
    <x v="5"/>
    <s v="Medium"/>
    <n v="635"/>
    <n v="260"/>
    <n v="300"/>
    <n v="190500"/>
    <n v="15240"/>
    <n v="175260"/>
    <n v="158750"/>
    <n v="16510"/>
    <d v="2014-12-01T00:00:00"/>
    <x v="2"/>
    <x v="2"/>
    <x v="0"/>
  </r>
  <r>
    <x v="0"/>
    <x v="4"/>
    <x v="4"/>
    <s v="Medium"/>
    <n v="436.5"/>
    <n v="250"/>
    <n v="20"/>
    <n v="8730"/>
    <n v="698.40000000000009"/>
    <n v="8031.5999999999995"/>
    <n v="4365"/>
    <n v="3666.5999999999995"/>
    <d v="2014-07-01T00:00:00"/>
    <x v="4"/>
    <x v="4"/>
    <x v="0"/>
  </r>
  <r>
    <x v="4"/>
    <x v="0"/>
    <x v="0"/>
    <s v="Medium"/>
    <n v="1094"/>
    <n v="3"/>
    <n v="300"/>
    <n v="328200"/>
    <n v="29538"/>
    <n v="298662"/>
    <n v="273500"/>
    <n v="25162"/>
    <d v="2014-06-01T00:00:00"/>
    <x v="1"/>
    <x v="1"/>
    <x v="0"/>
  </r>
  <r>
    <x v="2"/>
    <x v="3"/>
    <x v="0"/>
    <s v="Medium"/>
    <n v="367"/>
    <n v="3"/>
    <n v="12"/>
    <n v="4404"/>
    <n v="396.36"/>
    <n v="4007.64"/>
    <n v="1101"/>
    <n v="2906.64"/>
    <d v="2013-10-01T00:00:00"/>
    <x v="7"/>
    <x v="7"/>
    <x v="1"/>
  </r>
  <r>
    <x v="4"/>
    <x v="0"/>
    <x v="1"/>
    <s v="Medium"/>
    <n v="3802.5"/>
    <n v="5"/>
    <n v="300"/>
    <n v="1140750"/>
    <n v="102667.5"/>
    <n v="1038082.5"/>
    <n v="950625"/>
    <n v="87457.5"/>
    <d v="2014-04-01T00:00:00"/>
    <x v="10"/>
    <x v="10"/>
    <x v="0"/>
  </r>
  <r>
    <x v="0"/>
    <x v="2"/>
    <x v="1"/>
    <s v="Medium"/>
    <n v="1666"/>
    <n v="5"/>
    <n v="350"/>
    <n v="583100"/>
    <n v="52479"/>
    <n v="530621"/>
    <n v="433160"/>
    <n v="97461"/>
    <d v="2014-05-01T00:00:00"/>
    <x v="11"/>
    <x v="11"/>
    <x v="0"/>
  </r>
  <r>
    <x v="4"/>
    <x v="2"/>
    <x v="1"/>
    <s v="Medium"/>
    <n v="322"/>
    <n v="5"/>
    <n v="300"/>
    <n v="96600"/>
    <n v="8694"/>
    <n v="87906"/>
    <n v="80500"/>
    <n v="7406"/>
    <d v="2013-09-01T00:00:00"/>
    <x v="6"/>
    <x v="6"/>
    <x v="1"/>
  </r>
  <r>
    <x v="2"/>
    <x v="0"/>
    <x v="1"/>
    <s v="Medium"/>
    <n v="2321"/>
    <n v="5"/>
    <n v="12"/>
    <n v="27852"/>
    <n v="2506.6799999999998"/>
    <n v="25345.32"/>
    <n v="6963"/>
    <n v="18382.32"/>
    <d v="2014-11-01T00:00:00"/>
    <x v="9"/>
    <x v="9"/>
    <x v="0"/>
  </r>
  <r>
    <x v="3"/>
    <x v="2"/>
    <x v="1"/>
    <s v="Medium"/>
    <n v="1857"/>
    <n v="5"/>
    <n v="125"/>
    <n v="232125"/>
    <n v="20891.25"/>
    <n v="211233.75"/>
    <n v="222840"/>
    <n v="-11606.25"/>
    <d v="2013-11-01T00:00:00"/>
    <x v="9"/>
    <x v="9"/>
    <x v="1"/>
  </r>
  <r>
    <x v="0"/>
    <x v="0"/>
    <x v="1"/>
    <s v="Medium"/>
    <n v="1611"/>
    <n v="5"/>
    <n v="7"/>
    <n v="11277"/>
    <n v="1014.93"/>
    <n v="10262.07"/>
    <n v="8055"/>
    <n v="2207.0699999999997"/>
    <d v="2013-12-01T00:00:00"/>
    <x v="2"/>
    <x v="2"/>
    <x v="1"/>
  </r>
  <r>
    <x v="3"/>
    <x v="4"/>
    <x v="1"/>
    <s v="Medium"/>
    <n v="2797"/>
    <n v="5"/>
    <n v="125"/>
    <n v="349625"/>
    <n v="31466.25"/>
    <n v="318158.75"/>
    <n v="335640"/>
    <n v="-17481.25"/>
    <d v="2014-12-01T00:00:00"/>
    <x v="2"/>
    <x v="2"/>
    <x v="0"/>
  </r>
  <r>
    <x v="4"/>
    <x v="1"/>
    <x v="1"/>
    <s v="Medium"/>
    <n v="334"/>
    <n v="5"/>
    <n v="300"/>
    <n v="100200"/>
    <n v="9018"/>
    <n v="91182"/>
    <n v="83500"/>
    <n v="7682"/>
    <d v="2013-12-01T00:00:00"/>
    <x v="2"/>
    <x v="2"/>
    <x v="1"/>
  </r>
  <r>
    <x v="4"/>
    <x v="3"/>
    <x v="2"/>
    <s v="Medium"/>
    <n v="2565"/>
    <n v="10"/>
    <n v="300"/>
    <n v="769500"/>
    <n v="69255"/>
    <n v="700245"/>
    <n v="641250"/>
    <n v="58995"/>
    <d v="2014-01-01T00:00:00"/>
    <x v="0"/>
    <x v="0"/>
    <x v="0"/>
  </r>
  <r>
    <x v="0"/>
    <x v="3"/>
    <x v="2"/>
    <s v="Medium"/>
    <n v="2417"/>
    <n v="10"/>
    <n v="350"/>
    <n v="845950"/>
    <n v="76135.5"/>
    <n v="769814.5"/>
    <n v="628420"/>
    <n v="141394.5"/>
    <d v="2014-01-01T00:00:00"/>
    <x v="0"/>
    <x v="0"/>
    <x v="0"/>
  </r>
  <r>
    <x v="1"/>
    <x v="4"/>
    <x v="2"/>
    <s v="Medium"/>
    <n v="3675"/>
    <n v="10"/>
    <n v="15"/>
    <n v="55125"/>
    <n v="4961.25"/>
    <n v="50163.75"/>
    <n v="36750"/>
    <n v="13413.75"/>
    <d v="2014-04-01T00:00:00"/>
    <x v="10"/>
    <x v="10"/>
    <x v="0"/>
  </r>
  <r>
    <x v="4"/>
    <x v="0"/>
    <x v="2"/>
    <s v="Medium"/>
    <n v="1094"/>
    <n v="10"/>
    <n v="300"/>
    <n v="328200"/>
    <n v="29538"/>
    <n v="298662"/>
    <n v="273500"/>
    <n v="25162"/>
    <d v="2014-06-01T00:00:00"/>
    <x v="1"/>
    <x v="1"/>
    <x v="0"/>
  </r>
  <r>
    <x v="1"/>
    <x v="2"/>
    <x v="2"/>
    <s v="Medium"/>
    <n v="1227"/>
    <n v="10"/>
    <n v="15"/>
    <n v="18405"/>
    <n v="1656.45"/>
    <n v="16748.55"/>
    <n v="12270"/>
    <n v="4478.5499999999993"/>
    <d v="2014-10-01T00:00:00"/>
    <x v="7"/>
    <x v="7"/>
    <x v="0"/>
  </r>
  <r>
    <x v="2"/>
    <x v="3"/>
    <x v="2"/>
    <s v="Medium"/>
    <n v="367"/>
    <n v="10"/>
    <n v="12"/>
    <n v="4404"/>
    <n v="396.36"/>
    <n v="4007.64"/>
    <n v="1101"/>
    <n v="2906.64"/>
    <d v="2013-10-01T00:00:00"/>
    <x v="7"/>
    <x v="7"/>
    <x v="1"/>
  </r>
  <r>
    <x v="4"/>
    <x v="2"/>
    <x v="2"/>
    <s v="Medium"/>
    <n v="1324"/>
    <n v="10"/>
    <n v="300"/>
    <n v="397200"/>
    <n v="35748"/>
    <n v="361452"/>
    <n v="331000"/>
    <n v="30452"/>
    <d v="2014-11-01T00:00:00"/>
    <x v="9"/>
    <x v="9"/>
    <x v="0"/>
  </r>
  <r>
    <x v="2"/>
    <x v="1"/>
    <x v="2"/>
    <s v="Medium"/>
    <n v="1775"/>
    <n v="10"/>
    <n v="12"/>
    <n v="21300"/>
    <n v="1917"/>
    <n v="19383"/>
    <n v="5325"/>
    <n v="14058"/>
    <d v="2013-11-01T00:00:00"/>
    <x v="9"/>
    <x v="9"/>
    <x v="1"/>
  </r>
  <r>
    <x v="3"/>
    <x v="4"/>
    <x v="2"/>
    <s v="Medium"/>
    <n v="2797"/>
    <n v="10"/>
    <n v="125"/>
    <n v="349625"/>
    <n v="31466.25"/>
    <n v="318158.75"/>
    <n v="335640"/>
    <n v="-17481.25"/>
    <d v="2014-12-01T00:00:00"/>
    <x v="2"/>
    <x v="2"/>
    <x v="0"/>
  </r>
  <r>
    <x v="1"/>
    <x v="3"/>
    <x v="3"/>
    <s v="Medium"/>
    <n v="245"/>
    <n v="120"/>
    <n v="15"/>
    <n v="3675"/>
    <n v="330.75"/>
    <n v="3344.25"/>
    <n v="2450"/>
    <n v="894.25"/>
    <d v="2014-05-01T00:00:00"/>
    <x v="11"/>
    <x v="11"/>
    <x v="0"/>
  </r>
  <r>
    <x v="4"/>
    <x v="0"/>
    <x v="3"/>
    <s v="Medium"/>
    <n v="3793.5"/>
    <n v="120"/>
    <n v="300"/>
    <n v="1138050"/>
    <n v="102424.5"/>
    <n v="1035625.5"/>
    <n v="948375"/>
    <n v="87250.5"/>
    <d v="2014-07-01T00:00:00"/>
    <x v="4"/>
    <x v="4"/>
    <x v="0"/>
  </r>
  <r>
    <x v="0"/>
    <x v="1"/>
    <x v="3"/>
    <s v="Medium"/>
    <n v="1307"/>
    <n v="120"/>
    <n v="350"/>
    <n v="457450"/>
    <n v="41170.5"/>
    <n v="416279.5"/>
    <n v="339820"/>
    <n v="76459.5"/>
    <d v="2014-07-01T00:00:00"/>
    <x v="4"/>
    <x v="4"/>
    <x v="0"/>
  </r>
  <r>
    <x v="3"/>
    <x v="0"/>
    <x v="3"/>
    <s v="Medium"/>
    <n v="567"/>
    <n v="120"/>
    <n v="125"/>
    <n v="70875"/>
    <n v="6378.75"/>
    <n v="64496.25"/>
    <n v="68040"/>
    <n v="-3543.75"/>
    <d v="2014-09-01T00:00:00"/>
    <x v="6"/>
    <x v="6"/>
    <x v="0"/>
  </r>
  <r>
    <x v="3"/>
    <x v="3"/>
    <x v="3"/>
    <s v="Medium"/>
    <n v="2110"/>
    <n v="120"/>
    <n v="125"/>
    <n v="263750"/>
    <n v="23737.5"/>
    <n v="240012.5"/>
    <n v="253200"/>
    <n v="-13187.5"/>
    <d v="2014-09-01T00:00:00"/>
    <x v="6"/>
    <x v="6"/>
    <x v="0"/>
  </r>
  <r>
    <x v="0"/>
    <x v="0"/>
    <x v="3"/>
    <s v="Medium"/>
    <n v="1269"/>
    <n v="120"/>
    <n v="350"/>
    <n v="444150"/>
    <n v="39973.5"/>
    <n v="404176.5"/>
    <n v="329940"/>
    <n v="74236.5"/>
    <d v="2014-10-01T00:00:00"/>
    <x v="7"/>
    <x v="7"/>
    <x v="0"/>
  </r>
  <r>
    <x v="2"/>
    <x v="4"/>
    <x v="4"/>
    <s v="Medium"/>
    <n v="1956"/>
    <n v="250"/>
    <n v="12"/>
    <n v="23472"/>
    <n v="2112.48"/>
    <n v="21359.52"/>
    <n v="5868"/>
    <n v="15491.52"/>
    <d v="2014-01-01T00:00:00"/>
    <x v="0"/>
    <x v="0"/>
    <x v="0"/>
  </r>
  <r>
    <x v="4"/>
    <x v="1"/>
    <x v="4"/>
    <s v="Medium"/>
    <n v="2659"/>
    <n v="250"/>
    <n v="300"/>
    <n v="797700"/>
    <n v="71793"/>
    <n v="725907"/>
    <n v="664750"/>
    <n v="61157"/>
    <d v="2014-02-01T00:00:00"/>
    <x v="8"/>
    <x v="8"/>
    <x v="0"/>
  </r>
  <r>
    <x v="0"/>
    <x v="4"/>
    <x v="4"/>
    <s v="Medium"/>
    <n v="1351.5"/>
    <n v="250"/>
    <n v="350"/>
    <n v="473025"/>
    <n v="42572.25"/>
    <n v="430452.75"/>
    <n v="351390"/>
    <n v="79062.75"/>
    <d v="2014-04-01T00:00:00"/>
    <x v="10"/>
    <x v="10"/>
    <x v="0"/>
  </r>
  <r>
    <x v="2"/>
    <x v="1"/>
    <x v="4"/>
    <s v="Medium"/>
    <n v="880"/>
    <n v="250"/>
    <n v="12"/>
    <n v="10560"/>
    <n v="950.4"/>
    <n v="9609.6"/>
    <n v="2640"/>
    <n v="6969.6"/>
    <d v="2014-05-01T00:00:00"/>
    <x v="11"/>
    <x v="11"/>
    <x v="0"/>
  </r>
  <r>
    <x v="4"/>
    <x v="4"/>
    <x v="4"/>
    <s v="Medium"/>
    <n v="1867"/>
    <n v="250"/>
    <n v="300"/>
    <n v="560100"/>
    <n v="50409"/>
    <n v="509691"/>
    <n v="466750"/>
    <n v="42941"/>
    <d v="2014-09-01T00:00:00"/>
    <x v="6"/>
    <x v="6"/>
    <x v="0"/>
  </r>
  <r>
    <x v="2"/>
    <x v="2"/>
    <x v="4"/>
    <s v="Medium"/>
    <n v="2234"/>
    <n v="250"/>
    <n v="12"/>
    <n v="26808"/>
    <n v="2412.7199999999998"/>
    <n v="24395.279999999999"/>
    <n v="6702"/>
    <n v="17693.28"/>
    <d v="2013-09-01T00:00:00"/>
    <x v="6"/>
    <x v="6"/>
    <x v="1"/>
  </r>
  <r>
    <x v="1"/>
    <x v="2"/>
    <x v="4"/>
    <s v="Medium"/>
    <n v="1227"/>
    <n v="250"/>
    <n v="15"/>
    <n v="18405"/>
    <n v="1656.45"/>
    <n v="16748.55"/>
    <n v="12270"/>
    <n v="4478.5499999999993"/>
    <d v="2014-10-01T00:00:00"/>
    <x v="7"/>
    <x v="7"/>
    <x v="0"/>
  </r>
  <r>
    <x v="3"/>
    <x v="3"/>
    <x v="4"/>
    <s v="Medium"/>
    <n v="877"/>
    <n v="250"/>
    <n v="125"/>
    <n v="109625"/>
    <n v="9866.25"/>
    <n v="99758.75"/>
    <n v="105240"/>
    <n v="-5481.25"/>
    <d v="2014-11-01T00:00:00"/>
    <x v="9"/>
    <x v="9"/>
    <x v="0"/>
  </r>
  <r>
    <x v="0"/>
    <x v="4"/>
    <x v="5"/>
    <s v="Medium"/>
    <n v="2071"/>
    <n v="260"/>
    <n v="350"/>
    <n v="724850"/>
    <n v="65236.5"/>
    <n v="659613.5"/>
    <n v="538460"/>
    <n v="121153.5"/>
    <d v="2014-09-01T00:00:00"/>
    <x v="6"/>
    <x v="6"/>
    <x v="0"/>
  </r>
  <r>
    <x v="0"/>
    <x v="0"/>
    <x v="5"/>
    <s v="Medium"/>
    <n v="1269"/>
    <n v="260"/>
    <n v="350"/>
    <n v="444150"/>
    <n v="39973.5"/>
    <n v="404176.5"/>
    <n v="329940"/>
    <n v="74236.5"/>
    <d v="2014-10-01T00:00:00"/>
    <x v="7"/>
    <x v="7"/>
    <x v="0"/>
  </r>
  <r>
    <x v="1"/>
    <x v="1"/>
    <x v="5"/>
    <s v="Medium"/>
    <n v="970"/>
    <n v="260"/>
    <n v="15"/>
    <n v="14550"/>
    <n v="1309.5"/>
    <n v="13240.5"/>
    <n v="9700"/>
    <n v="3540.5"/>
    <d v="2013-11-01T00:00:00"/>
    <x v="9"/>
    <x v="9"/>
    <x v="1"/>
  </r>
  <r>
    <x v="0"/>
    <x v="3"/>
    <x v="5"/>
    <s v="Medium"/>
    <n v="1694"/>
    <n v="260"/>
    <n v="20"/>
    <n v="33880"/>
    <n v="3049.2"/>
    <n v="30830.799999999999"/>
    <n v="16940"/>
    <n v="13890.8"/>
    <d v="2014-11-01T00:00:00"/>
    <x v="9"/>
    <x v="9"/>
    <x v="0"/>
  </r>
  <r>
    <x v="0"/>
    <x v="1"/>
    <x v="0"/>
    <s v="Medium"/>
    <n v="663"/>
    <n v="3"/>
    <n v="20"/>
    <n v="13260"/>
    <n v="1193.4000000000001"/>
    <n v="12066.6"/>
    <n v="6630"/>
    <n v="5436.6"/>
    <d v="2014-05-01T00:00:00"/>
    <x v="11"/>
    <x v="11"/>
    <x v="0"/>
  </r>
  <r>
    <x v="0"/>
    <x v="0"/>
    <x v="0"/>
    <s v="Medium"/>
    <n v="819"/>
    <n v="3"/>
    <n v="7"/>
    <n v="5733"/>
    <n v="515.97"/>
    <n v="5217.03"/>
    <n v="4095"/>
    <n v="1122.03"/>
    <d v="2014-07-01T00:00:00"/>
    <x v="4"/>
    <x v="4"/>
    <x v="0"/>
  </r>
  <r>
    <x v="2"/>
    <x v="1"/>
    <x v="0"/>
    <s v="Medium"/>
    <n v="1580"/>
    <n v="3"/>
    <n v="12"/>
    <n v="18960"/>
    <n v="1706.4"/>
    <n v="17253.599999999999"/>
    <n v="4740"/>
    <n v="12513.599999999999"/>
    <d v="2014-09-01T00:00:00"/>
    <x v="6"/>
    <x v="6"/>
    <x v="0"/>
  </r>
  <r>
    <x v="0"/>
    <x v="3"/>
    <x v="0"/>
    <s v="Medium"/>
    <n v="521"/>
    <n v="3"/>
    <n v="7"/>
    <n v="3647"/>
    <n v="328.23"/>
    <n v="3318.77"/>
    <n v="2605"/>
    <n v="713.77"/>
    <d v="2014-12-01T00:00:00"/>
    <x v="2"/>
    <x v="2"/>
    <x v="0"/>
  </r>
  <r>
    <x v="0"/>
    <x v="4"/>
    <x v="2"/>
    <s v="Medium"/>
    <n v="973"/>
    <n v="10"/>
    <n v="20"/>
    <n v="19460"/>
    <n v="1751.4"/>
    <n v="17708.599999999999"/>
    <n v="9730"/>
    <n v="7978.5999999999985"/>
    <d v="2014-03-01T00:00:00"/>
    <x v="3"/>
    <x v="3"/>
    <x v="0"/>
  </r>
  <r>
    <x v="0"/>
    <x v="3"/>
    <x v="2"/>
    <s v="Medium"/>
    <n v="1038"/>
    <n v="10"/>
    <n v="20"/>
    <n v="20760"/>
    <n v="1868.4"/>
    <n v="18891.599999999999"/>
    <n v="10380"/>
    <n v="8511.5999999999985"/>
    <d v="2014-06-01T00:00:00"/>
    <x v="1"/>
    <x v="1"/>
    <x v="0"/>
  </r>
  <r>
    <x v="0"/>
    <x v="1"/>
    <x v="2"/>
    <s v="Medium"/>
    <n v="360"/>
    <n v="10"/>
    <n v="7"/>
    <n v="2520"/>
    <n v="226.8"/>
    <n v="2293.1999999999998"/>
    <n v="1800"/>
    <n v="493.19999999999982"/>
    <d v="2014-10-01T00:00:00"/>
    <x v="7"/>
    <x v="7"/>
    <x v="0"/>
  </r>
  <r>
    <x v="2"/>
    <x v="2"/>
    <x v="3"/>
    <s v="Medium"/>
    <n v="1967"/>
    <n v="120"/>
    <n v="12"/>
    <n v="23604"/>
    <n v="2124.36"/>
    <n v="21479.64"/>
    <n v="5901"/>
    <n v="15578.64"/>
    <d v="2014-03-01T00:00:00"/>
    <x v="3"/>
    <x v="3"/>
    <x v="0"/>
  </r>
  <r>
    <x v="1"/>
    <x v="3"/>
    <x v="3"/>
    <s v="Medium"/>
    <n v="2628"/>
    <n v="120"/>
    <n v="15"/>
    <n v="39420"/>
    <n v="3547.8"/>
    <n v="35872.199999999997"/>
    <n v="26280"/>
    <n v="9592.1999999999971"/>
    <d v="2014-04-01T00:00:00"/>
    <x v="10"/>
    <x v="10"/>
    <x v="0"/>
  </r>
  <r>
    <x v="0"/>
    <x v="1"/>
    <x v="4"/>
    <s v="Medium"/>
    <n v="360"/>
    <n v="250"/>
    <n v="7"/>
    <n v="2520"/>
    <n v="226.8"/>
    <n v="2293.1999999999998"/>
    <n v="1800"/>
    <n v="493.19999999999982"/>
    <d v="2014-10-01T00:00:00"/>
    <x v="7"/>
    <x v="7"/>
    <x v="0"/>
  </r>
  <r>
    <x v="0"/>
    <x v="2"/>
    <x v="4"/>
    <s v="Medium"/>
    <n v="2682"/>
    <n v="250"/>
    <n v="20"/>
    <n v="53640"/>
    <n v="4827.6000000000004"/>
    <n v="48812.4"/>
    <n v="26820"/>
    <n v="21992.400000000001"/>
    <d v="2013-11-01T00:00:00"/>
    <x v="9"/>
    <x v="9"/>
    <x v="1"/>
  </r>
  <r>
    <x v="0"/>
    <x v="3"/>
    <x v="4"/>
    <s v="Medium"/>
    <n v="521"/>
    <n v="250"/>
    <n v="7"/>
    <n v="3647"/>
    <n v="328.23"/>
    <n v="3318.77"/>
    <n v="2605"/>
    <n v="713.77"/>
    <d v="2014-12-01T00:00:00"/>
    <x v="2"/>
    <x v="2"/>
    <x v="0"/>
  </r>
  <r>
    <x v="0"/>
    <x v="3"/>
    <x v="5"/>
    <s v="Medium"/>
    <n v="1038"/>
    <n v="260"/>
    <n v="20"/>
    <n v="20760"/>
    <n v="1868.4"/>
    <n v="18891.599999999999"/>
    <n v="10380"/>
    <n v="8511.5999999999985"/>
    <d v="2014-06-01T00:00:00"/>
    <x v="1"/>
    <x v="1"/>
    <x v="0"/>
  </r>
  <r>
    <x v="1"/>
    <x v="0"/>
    <x v="5"/>
    <s v="Medium"/>
    <n v="1630.5"/>
    <n v="260"/>
    <n v="15"/>
    <n v="24457.5"/>
    <n v="2201.1750000000002"/>
    <n v="22256.324999999997"/>
    <n v="16305"/>
    <n v="5951.3249999999989"/>
    <d v="2014-07-01T00:00:00"/>
    <x v="4"/>
    <x v="4"/>
    <x v="0"/>
  </r>
  <r>
    <x v="2"/>
    <x v="2"/>
    <x v="5"/>
    <s v="Medium"/>
    <n v="306"/>
    <n v="260"/>
    <n v="12"/>
    <n v="3672"/>
    <n v="330.48"/>
    <n v="3341.52"/>
    <n v="918"/>
    <n v="2423.52"/>
    <d v="2013-12-01T00:00:00"/>
    <x v="2"/>
    <x v="2"/>
    <x v="1"/>
  </r>
  <r>
    <x v="2"/>
    <x v="4"/>
    <x v="0"/>
    <s v="High"/>
    <n v="386"/>
    <n v="3"/>
    <n v="12"/>
    <n v="4632"/>
    <n v="463.2"/>
    <n v="4168.8"/>
    <n v="1158"/>
    <n v="3010.8"/>
    <d v="2013-10-01T00:00:00"/>
    <x v="7"/>
    <x v="7"/>
    <x v="1"/>
  </r>
  <r>
    <x v="0"/>
    <x v="4"/>
    <x v="1"/>
    <s v="High"/>
    <n v="2328"/>
    <n v="5"/>
    <n v="7"/>
    <n v="16296"/>
    <n v="1629.6"/>
    <n v="14666.4"/>
    <n v="11640"/>
    <n v="3026.3999999999996"/>
    <d v="2014-09-01T00:00:00"/>
    <x v="6"/>
    <x v="6"/>
    <x v="0"/>
  </r>
  <r>
    <x v="2"/>
    <x v="4"/>
    <x v="2"/>
    <s v="High"/>
    <n v="386"/>
    <n v="10"/>
    <n v="12"/>
    <n v="4632"/>
    <n v="463.2"/>
    <n v="4168.8"/>
    <n v="1158"/>
    <n v="3010.8"/>
    <d v="2013-10-01T00:00:00"/>
    <x v="7"/>
    <x v="7"/>
    <x v="1"/>
  </r>
  <r>
    <x v="3"/>
    <x v="4"/>
    <x v="0"/>
    <s v="High"/>
    <n v="3445.5"/>
    <n v="3"/>
    <n v="125"/>
    <n v="430687.5"/>
    <n v="43068.75"/>
    <n v="387618.75"/>
    <n v="413460"/>
    <n v="-25841.25"/>
    <d v="2014-04-01T00:00:00"/>
    <x v="10"/>
    <x v="10"/>
    <x v="0"/>
  </r>
  <r>
    <x v="3"/>
    <x v="2"/>
    <x v="0"/>
    <s v="High"/>
    <n v="1482"/>
    <n v="3"/>
    <n v="125"/>
    <n v="185250"/>
    <n v="18525"/>
    <n v="166725"/>
    <n v="177840"/>
    <n v="-11115"/>
    <d v="2013-12-01T00:00:00"/>
    <x v="2"/>
    <x v="2"/>
    <x v="1"/>
  </r>
  <r>
    <x v="0"/>
    <x v="4"/>
    <x v="1"/>
    <s v="High"/>
    <n v="2313"/>
    <n v="5"/>
    <n v="350"/>
    <n v="809550"/>
    <n v="80955"/>
    <n v="728595"/>
    <n v="601380"/>
    <n v="127215"/>
    <d v="2014-05-01T00:00:00"/>
    <x v="11"/>
    <x v="11"/>
    <x v="0"/>
  </r>
  <r>
    <x v="3"/>
    <x v="4"/>
    <x v="1"/>
    <s v="High"/>
    <n v="1804"/>
    <n v="5"/>
    <n v="125"/>
    <n v="225500"/>
    <n v="22550"/>
    <n v="202950"/>
    <n v="216480"/>
    <n v="-13530"/>
    <d v="2013-11-01T00:00:00"/>
    <x v="9"/>
    <x v="9"/>
    <x v="1"/>
  </r>
  <r>
    <x v="1"/>
    <x v="2"/>
    <x v="1"/>
    <s v="High"/>
    <n v="2072"/>
    <n v="5"/>
    <n v="15"/>
    <n v="31080"/>
    <n v="3108"/>
    <n v="27972"/>
    <n v="20720"/>
    <n v="7252"/>
    <d v="2014-12-01T00:00:00"/>
    <x v="2"/>
    <x v="2"/>
    <x v="0"/>
  </r>
  <r>
    <x v="0"/>
    <x v="2"/>
    <x v="2"/>
    <s v="High"/>
    <n v="1954"/>
    <n v="10"/>
    <n v="20"/>
    <n v="39080"/>
    <n v="3908"/>
    <n v="35172"/>
    <n v="19540"/>
    <n v="15632"/>
    <d v="2014-03-01T00:00:00"/>
    <x v="3"/>
    <x v="3"/>
    <x v="0"/>
  </r>
  <r>
    <x v="4"/>
    <x v="3"/>
    <x v="2"/>
    <s v="High"/>
    <n v="591"/>
    <n v="10"/>
    <n v="300"/>
    <n v="177300"/>
    <n v="17730"/>
    <n v="159570"/>
    <n v="147750"/>
    <n v="11820"/>
    <d v="2014-05-01T00:00:00"/>
    <x v="11"/>
    <x v="11"/>
    <x v="0"/>
  </r>
  <r>
    <x v="1"/>
    <x v="2"/>
    <x v="2"/>
    <s v="High"/>
    <n v="2167"/>
    <n v="10"/>
    <n v="15"/>
    <n v="32505"/>
    <n v="3250.5"/>
    <n v="29254.5"/>
    <n v="21670"/>
    <n v="7584.5"/>
    <d v="2013-10-01T00:00:00"/>
    <x v="7"/>
    <x v="7"/>
    <x v="1"/>
  </r>
  <r>
    <x v="0"/>
    <x v="1"/>
    <x v="2"/>
    <s v="High"/>
    <n v="241"/>
    <n v="10"/>
    <n v="20"/>
    <n v="4820"/>
    <n v="482"/>
    <n v="4338"/>
    <n v="2410"/>
    <n v="1928"/>
    <d v="2014-10-01T00:00:00"/>
    <x v="7"/>
    <x v="7"/>
    <x v="0"/>
  </r>
  <r>
    <x v="1"/>
    <x v="1"/>
    <x v="3"/>
    <s v="High"/>
    <n v="681"/>
    <n v="120"/>
    <n v="15"/>
    <n v="10215"/>
    <n v="1021.5"/>
    <n v="9193.5"/>
    <n v="6810"/>
    <n v="2383.5"/>
    <d v="2014-01-01T00:00:00"/>
    <x v="0"/>
    <x v="0"/>
    <x v="0"/>
  </r>
  <r>
    <x v="1"/>
    <x v="1"/>
    <x v="3"/>
    <s v="High"/>
    <n v="510"/>
    <n v="120"/>
    <n v="15"/>
    <n v="7650"/>
    <n v="765"/>
    <n v="6885"/>
    <n v="5100"/>
    <n v="1785"/>
    <d v="2014-04-01T00:00:00"/>
    <x v="10"/>
    <x v="10"/>
    <x v="0"/>
  </r>
  <r>
    <x v="1"/>
    <x v="4"/>
    <x v="3"/>
    <s v="High"/>
    <n v="790"/>
    <n v="120"/>
    <n v="15"/>
    <n v="11850"/>
    <n v="1185"/>
    <n v="10665"/>
    <n v="7900"/>
    <n v="2765"/>
    <d v="2014-05-01T00:00:00"/>
    <x v="11"/>
    <x v="11"/>
    <x v="0"/>
  </r>
  <r>
    <x v="0"/>
    <x v="2"/>
    <x v="3"/>
    <s v="High"/>
    <n v="639"/>
    <n v="120"/>
    <n v="350"/>
    <n v="223650"/>
    <n v="22365"/>
    <n v="201285"/>
    <n v="166140"/>
    <n v="35145"/>
    <d v="2014-07-01T00:00:00"/>
    <x v="4"/>
    <x v="4"/>
    <x v="0"/>
  </r>
  <r>
    <x v="3"/>
    <x v="4"/>
    <x v="3"/>
    <s v="High"/>
    <n v="1596"/>
    <n v="120"/>
    <n v="125"/>
    <n v="199500"/>
    <n v="19950"/>
    <n v="179550"/>
    <n v="191520"/>
    <n v="-11970"/>
    <d v="2014-09-01T00:00:00"/>
    <x v="6"/>
    <x v="6"/>
    <x v="0"/>
  </r>
  <r>
    <x v="4"/>
    <x v="4"/>
    <x v="3"/>
    <s v="High"/>
    <n v="2294"/>
    <n v="120"/>
    <n v="300"/>
    <n v="688200"/>
    <n v="68820"/>
    <n v="619380"/>
    <n v="573500"/>
    <n v="45880"/>
    <d v="2013-10-01T00:00:00"/>
    <x v="7"/>
    <x v="7"/>
    <x v="1"/>
  </r>
  <r>
    <x v="0"/>
    <x v="1"/>
    <x v="3"/>
    <s v="High"/>
    <n v="241"/>
    <n v="120"/>
    <n v="20"/>
    <n v="4820"/>
    <n v="482"/>
    <n v="4338"/>
    <n v="2410"/>
    <n v="1928"/>
    <d v="2014-10-01T00:00:00"/>
    <x v="7"/>
    <x v="7"/>
    <x v="0"/>
  </r>
  <r>
    <x v="0"/>
    <x v="1"/>
    <x v="3"/>
    <s v="High"/>
    <n v="2665"/>
    <n v="120"/>
    <n v="7"/>
    <n v="18655"/>
    <n v="1865.5"/>
    <n v="16789.5"/>
    <n v="13325"/>
    <n v="3464.5"/>
    <d v="2014-11-01T00:00:00"/>
    <x v="9"/>
    <x v="9"/>
    <x v="0"/>
  </r>
  <r>
    <x v="3"/>
    <x v="0"/>
    <x v="3"/>
    <s v="High"/>
    <n v="1916"/>
    <n v="120"/>
    <n v="125"/>
    <n v="239500"/>
    <n v="23950"/>
    <n v="215550"/>
    <n v="229920"/>
    <n v="-14370"/>
    <d v="2013-12-01T00:00:00"/>
    <x v="2"/>
    <x v="2"/>
    <x v="1"/>
  </r>
  <r>
    <x v="4"/>
    <x v="2"/>
    <x v="3"/>
    <s v="High"/>
    <n v="853"/>
    <n v="120"/>
    <n v="300"/>
    <n v="255900"/>
    <n v="25590"/>
    <n v="230310"/>
    <n v="213250"/>
    <n v="17060"/>
    <d v="2014-12-01T00:00:00"/>
    <x v="2"/>
    <x v="2"/>
    <x v="0"/>
  </r>
  <r>
    <x v="3"/>
    <x v="3"/>
    <x v="4"/>
    <s v="High"/>
    <n v="341"/>
    <n v="250"/>
    <n v="125"/>
    <n v="42625"/>
    <n v="4262.5"/>
    <n v="38362.5"/>
    <n v="40920"/>
    <n v="-2557.5"/>
    <d v="2014-05-01T00:00:00"/>
    <x v="11"/>
    <x v="11"/>
    <x v="0"/>
  </r>
  <r>
    <x v="1"/>
    <x v="3"/>
    <x v="4"/>
    <s v="High"/>
    <n v="641"/>
    <n v="250"/>
    <n v="15"/>
    <n v="9615"/>
    <n v="961.5"/>
    <n v="8653.5"/>
    <n v="6410"/>
    <n v="2243.5"/>
    <d v="2014-07-01T00:00:00"/>
    <x v="4"/>
    <x v="4"/>
    <x v="0"/>
  </r>
  <r>
    <x v="0"/>
    <x v="4"/>
    <x v="4"/>
    <s v="High"/>
    <n v="2807"/>
    <n v="250"/>
    <n v="350"/>
    <n v="982450"/>
    <n v="98245"/>
    <n v="884205"/>
    <n v="729820"/>
    <n v="154385"/>
    <d v="2014-08-01T00:00:00"/>
    <x v="5"/>
    <x v="5"/>
    <x v="0"/>
  </r>
  <r>
    <x v="4"/>
    <x v="3"/>
    <x v="4"/>
    <s v="High"/>
    <n v="432"/>
    <n v="250"/>
    <n v="300"/>
    <n v="129600"/>
    <n v="12960"/>
    <n v="116640"/>
    <n v="108000"/>
    <n v="8640"/>
    <d v="2014-09-01T00:00:00"/>
    <x v="6"/>
    <x v="6"/>
    <x v="0"/>
  </r>
  <r>
    <x v="4"/>
    <x v="4"/>
    <x v="4"/>
    <s v="High"/>
    <n v="2294"/>
    <n v="250"/>
    <n v="300"/>
    <n v="688200"/>
    <n v="68820"/>
    <n v="619380"/>
    <n v="573500"/>
    <n v="45880"/>
    <d v="2013-10-01T00:00:00"/>
    <x v="7"/>
    <x v="7"/>
    <x v="1"/>
  </r>
  <r>
    <x v="1"/>
    <x v="2"/>
    <x v="4"/>
    <s v="High"/>
    <n v="2167"/>
    <n v="250"/>
    <n v="15"/>
    <n v="32505"/>
    <n v="3250.5"/>
    <n v="29254.5"/>
    <n v="21670"/>
    <n v="7584.5"/>
    <d v="2013-10-01T00:00:00"/>
    <x v="7"/>
    <x v="7"/>
    <x v="1"/>
  </r>
  <r>
    <x v="3"/>
    <x v="0"/>
    <x v="4"/>
    <s v="High"/>
    <n v="2529"/>
    <n v="250"/>
    <n v="125"/>
    <n v="316125"/>
    <n v="31612.5"/>
    <n v="284512.5"/>
    <n v="303480"/>
    <n v="-18967.5"/>
    <d v="2014-11-01T00:00:00"/>
    <x v="9"/>
    <x v="9"/>
    <x v="0"/>
  </r>
  <r>
    <x v="0"/>
    <x v="1"/>
    <x v="4"/>
    <s v="High"/>
    <n v="1870"/>
    <n v="250"/>
    <n v="350"/>
    <n v="654500"/>
    <n v="65450"/>
    <n v="589050"/>
    <n v="486200"/>
    <n v="102850"/>
    <d v="2013-12-01T00:00:00"/>
    <x v="2"/>
    <x v="2"/>
    <x v="1"/>
  </r>
  <r>
    <x v="3"/>
    <x v="4"/>
    <x v="5"/>
    <s v="High"/>
    <n v="579"/>
    <n v="260"/>
    <n v="125"/>
    <n v="72375"/>
    <n v="7237.5"/>
    <n v="65137.5"/>
    <n v="69480"/>
    <n v="-4342.5"/>
    <d v="2014-01-01T00:00:00"/>
    <x v="0"/>
    <x v="0"/>
    <x v="0"/>
  </r>
  <r>
    <x v="0"/>
    <x v="0"/>
    <x v="5"/>
    <s v="High"/>
    <n v="2240"/>
    <n v="260"/>
    <n v="350"/>
    <n v="784000"/>
    <n v="78400"/>
    <n v="705600"/>
    <n v="582400"/>
    <n v="123200"/>
    <d v="2014-02-01T00:00:00"/>
    <x v="8"/>
    <x v="8"/>
    <x v="0"/>
  </r>
  <r>
    <x v="4"/>
    <x v="4"/>
    <x v="5"/>
    <s v="High"/>
    <n v="2993"/>
    <n v="260"/>
    <n v="300"/>
    <n v="897900"/>
    <n v="89790"/>
    <n v="808110"/>
    <n v="748250"/>
    <n v="59860"/>
    <d v="2014-03-01T00:00:00"/>
    <x v="3"/>
    <x v="3"/>
    <x v="0"/>
  </r>
  <r>
    <x v="2"/>
    <x v="0"/>
    <x v="5"/>
    <s v="High"/>
    <n v="3520.5"/>
    <n v="260"/>
    <n v="12"/>
    <n v="42246"/>
    <n v="4224.6000000000004"/>
    <n v="38021.399999999994"/>
    <n v="10561.5"/>
    <n v="27459.899999999998"/>
    <d v="2014-04-01T00:00:00"/>
    <x v="10"/>
    <x v="10"/>
    <x v="0"/>
  </r>
  <r>
    <x v="0"/>
    <x v="3"/>
    <x v="5"/>
    <s v="High"/>
    <n v="2039"/>
    <n v="260"/>
    <n v="20"/>
    <n v="40780"/>
    <n v="4078"/>
    <n v="36702"/>
    <n v="20390"/>
    <n v="16312"/>
    <d v="2014-05-01T00:00:00"/>
    <x v="11"/>
    <x v="11"/>
    <x v="0"/>
  </r>
  <r>
    <x v="2"/>
    <x v="1"/>
    <x v="5"/>
    <s v="High"/>
    <n v="2574"/>
    <n v="260"/>
    <n v="12"/>
    <n v="30888"/>
    <n v="3088.8"/>
    <n v="27799.200000000001"/>
    <n v="7722"/>
    <n v="20077.2"/>
    <d v="2014-08-01T00:00:00"/>
    <x v="5"/>
    <x v="5"/>
    <x v="0"/>
  </r>
  <r>
    <x v="0"/>
    <x v="0"/>
    <x v="5"/>
    <s v="High"/>
    <n v="707"/>
    <n v="260"/>
    <n v="350"/>
    <n v="247450"/>
    <n v="24745"/>
    <n v="222705"/>
    <n v="183820"/>
    <n v="38885"/>
    <d v="2014-09-01T00:00:00"/>
    <x v="6"/>
    <x v="6"/>
    <x v="0"/>
  </r>
  <r>
    <x v="1"/>
    <x v="2"/>
    <x v="5"/>
    <s v="High"/>
    <n v="2072"/>
    <n v="260"/>
    <n v="15"/>
    <n v="31080"/>
    <n v="3108"/>
    <n v="27972"/>
    <n v="20720"/>
    <n v="7252"/>
    <d v="2014-12-01T00:00:00"/>
    <x v="2"/>
    <x v="2"/>
    <x v="0"/>
  </r>
  <r>
    <x v="4"/>
    <x v="2"/>
    <x v="5"/>
    <s v="High"/>
    <n v="853"/>
    <n v="260"/>
    <n v="300"/>
    <n v="255900"/>
    <n v="25590"/>
    <n v="230310"/>
    <n v="213250"/>
    <n v="17060"/>
    <d v="2014-12-01T00:00:00"/>
    <x v="2"/>
    <x v="2"/>
    <x v="0"/>
  </r>
  <r>
    <x v="2"/>
    <x v="2"/>
    <x v="0"/>
    <s v="High"/>
    <n v="1198"/>
    <n v="3"/>
    <n v="12"/>
    <n v="14376"/>
    <n v="1581.36"/>
    <n v="12794.64"/>
    <n v="3594"/>
    <n v="9200.64"/>
    <d v="2013-10-01T00:00:00"/>
    <x v="7"/>
    <x v="7"/>
    <x v="1"/>
  </r>
  <r>
    <x v="0"/>
    <x v="2"/>
    <x v="2"/>
    <s v="High"/>
    <n v="2532"/>
    <n v="10"/>
    <n v="7"/>
    <n v="17724"/>
    <n v="1949.6399999999999"/>
    <n v="15774.36"/>
    <n v="12660"/>
    <n v="3114.3599999999997"/>
    <d v="2014-04-01T00:00:00"/>
    <x v="10"/>
    <x v="10"/>
    <x v="0"/>
  </r>
  <r>
    <x v="2"/>
    <x v="2"/>
    <x v="2"/>
    <s v="High"/>
    <n v="1198"/>
    <n v="10"/>
    <n v="12"/>
    <n v="14376"/>
    <n v="1581.36"/>
    <n v="12794.64"/>
    <n v="3594"/>
    <n v="9200.64"/>
    <d v="2013-10-01T00:00:00"/>
    <x v="7"/>
    <x v="7"/>
    <x v="1"/>
  </r>
  <r>
    <x v="1"/>
    <x v="0"/>
    <x v="3"/>
    <s v="High"/>
    <n v="384"/>
    <n v="120"/>
    <n v="15"/>
    <n v="5760"/>
    <n v="633.59999999999991"/>
    <n v="5126.3999999999996"/>
    <n v="3840"/>
    <n v="1286.3999999999999"/>
    <d v="2014-01-01T00:00:00"/>
    <x v="0"/>
    <x v="0"/>
    <x v="0"/>
  </r>
  <r>
    <x v="2"/>
    <x v="1"/>
    <x v="3"/>
    <s v="High"/>
    <n v="472"/>
    <n v="120"/>
    <n v="12"/>
    <n v="5664"/>
    <n v="623.04"/>
    <n v="5040.96"/>
    <n v="1416"/>
    <n v="3624.96"/>
    <d v="2014-10-01T00:00:00"/>
    <x v="7"/>
    <x v="7"/>
    <x v="0"/>
  </r>
  <r>
    <x v="0"/>
    <x v="4"/>
    <x v="4"/>
    <s v="High"/>
    <n v="1579"/>
    <n v="250"/>
    <n v="7"/>
    <n v="11053"/>
    <n v="1215.83"/>
    <n v="9837.17"/>
    <n v="7895"/>
    <n v="1942.17"/>
    <d v="2014-03-01T00:00:00"/>
    <x v="3"/>
    <x v="3"/>
    <x v="0"/>
  </r>
  <r>
    <x v="2"/>
    <x v="3"/>
    <x v="4"/>
    <s v="High"/>
    <n v="1005"/>
    <n v="250"/>
    <n v="12"/>
    <n v="12060"/>
    <n v="1326.6"/>
    <n v="10733.4"/>
    <n v="3015"/>
    <n v="7718.4"/>
    <d v="2013-09-01T00:00:00"/>
    <x v="6"/>
    <x v="6"/>
    <x v="1"/>
  </r>
  <r>
    <x v="1"/>
    <x v="4"/>
    <x v="5"/>
    <s v="High"/>
    <n v="3199.5"/>
    <n v="260"/>
    <n v="15"/>
    <n v="47992.5"/>
    <n v="5279.1749999999993"/>
    <n v="42713.324999999997"/>
    <n v="31995"/>
    <n v="10718.324999999999"/>
    <d v="2014-07-01T00:00:00"/>
    <x v="4"/>
    <x v="4"/>
    <x v="0"/>
  </r>
  <r>
    <x v="2"/>
    <x v="1"/>
    <x v="5"/>
    <s v="High"/>
    <n v="472"/>
    <n v="260"/>
    <n v="12"/>
    <n v="5664"/>
    <n v="623.04"/>
    <n v="5040.96"/>
    <n v="1416"/>
    <n v="3624.96"/>
    <d v="2014-10-01T00:00:00"/>
    <x v="7"/>
    <x v="7"/>
    <x v="0"/>
  </r>
  <r>
    <x v="2"/>
    <x v="0"/>
    <x v="0"/>
    <s v="High"/>
    <n v="1937"/>
    <n v="3"/>
    <n v="12"/>
    <n v="23244"/>
    <n v="2556.84"/>
    <n v="20687.16"/>
    <n v="5811"/>
    <n v="14876.16"/>
    <d v="2014-02-01T00:00:00"/>
    <x v="8"/>
    <x v="8"/>
    <x v="0"/>
  </r>
  <r>
    <x v="0"/>
    <x v="1"/>
    <x v="0"/>
    <s v="High"/>
    <n v="792"/>
    <n v="3"/>
    <n v="350"/>
    <n v="277200"/>
    <n v="30492"/>
    <n v="246708"/>
    <n v="205920"/>
    <n v="40788"/>
    <d v="2014-03-01T00:00:00"/>
    <x v="3"/>
    <x v="3"/>
    <x v="0"/>
  </r>
  <r>
    <x v="4"/>
    <x v="1"/>
    <x v="0"/>
    <s v="High"/>
    <n v="2811"/>
    <n v="3"/>
    <n v="300"/>
    <n v="843300"/>
    <n v="92763"/>
    <n v="750537"/>
    <n v="702750"/>
    <n v="47787"/>
    <d v="2014-07-01T00:00:00"/>
    <x v="4"/>
    <x v="4"/>
    <x v="0"/>
  </r>
  <r>
    <x v="3"/>
    <x v="2"/>
    <x v="0"/>
    <s v="High"/>
    <n v="2441"/>
    <n v="3"/>
    <n v="125"/>
    <n v="305125"/>
    <n v="33563.75"/>
    <n v="271561.25"/>
    <n v="292920"/>
    <n v="-21358.75"/>
    <d v="2014-10-01T00:00:00"/>
    <x v="7"/>
    <x v="7"/>
    <x v="0"/>
  </r>
  <r>
    <x v="1"/>
    <x v="0"/>
    <x v="0"/>
    <s v="High"/>
    <n v="1560"/>
    <n v="3"/>
    <n v="15"/>
    <n v="23400"/>
    <n v="2574"/>
    <n v="20826"/>
    <n v="15600"/>
    <n v="5226"/>
    <d v="2013-11-01T00:00:00"/>
    <x v="9"/>
    <x v="9"/>
    <x v="1"/>
  </r>
  <r>
    <x v="0"/>
    <x v="3"/>
    <x v="0"/>
    <s v="High"/>
    <n v="2706"/>
    <n v="3"/>
    <n v="7"/>
    <n v="18942"/>
    <n v="2083.62"/>
    <n v="16858.38"/>
    <n v="13530"/>
    <n v="3328.380000000001"/>
    <d v="2013-11-01T00:00:00"/>
    <x v="9"/>
    <x v="9"/>
    <x v="1"/>
  </r>
  <r>
    <x v="0"/>
    <x v="1"/>
    <x v="1"/>
    <s v="High"/>
    <n v="766"/>
    <n v="5"/>
    <n v="350"/>
    <n v="268100"/>
    <n v="29491"/>
    <n v="238609"/>
    <n v="199160"/>
    <n v="39449"/>
    <d v="2014-01-01T00:00:00"/>
    <x v="0"/>
    <x v="0"/>
    <x v="0"/>
  </r>
  <r>
    <x v="0"/>
    <x v="1"/>
    <x v="1"/>
    <s v="High"/>
    <n v="2992"/>
    <n v="5"/>
    <n v="20"/>
    <n v="59840"/>
    <n v="6582.4"/>
    <n v="53257.599999999999"/>
    <n v="29920"/>
    <n v="23337.599999999999"/>
    <d v="2013-10-01T00:00:00"/>
    <x v="7"/>
    <x v="7"/>
    <x v="1"/>
  </r>
  <r>
    <x v="1"/>
    <x v="3"/>
    <x v="1"/>
    <s v="High"/>
    <n v="2157"/>
    <n v="5"/>
    <n v="15"/>
    <n v="32355"/>
    <n v="3559.05"/>
    <n v="28795.95"/>
    <n v="21570"/>
    <n v="7225.9500000000007"/>
    <d v="2014-12-01T00:00:00"/>
    <x v="2"/>
    <x v="2"/>
    <x v="0"/>
  </r>
  <r>
    <x v="4"/>
    <x v="0"/>
    <x v="2"/>
    <s v="High"/>
    <n v="873"/>
    <n v="10"/>
    <n v="300"/>
    <n v="261900"/>
    <n v="28809"/>
    <n v="233091"/>
    <n v="218250"/>
    <n v="14841"/>
    <d v="2014-01-01T00:00:00"/>
    <x v="0"/>
    <x v="0"/>
    <x v="0"/>
  </r>
  <r>
    <x v="0"/>
    <x v="3"/>
    <x v="2"/>
    <s v="High"/>
    <n v="1122"/>
    <n v="10"/>
    <n v="20"/>
    <n v="22440"/>
    <n v="2468.4"/>
    <n v="19971.599999999999"/>
    <n v="11220"/>
    <n v="8751.5999999999985"/>
    <d v="2014-03-01T00:00:00"/>
    <x v="3"/>
    <x v="3"/>
    <x v="0"/>
  </r>
  <r>
    <x v="0"/>
    <x v="0"/>
    <x v="2"/>
    <s v="High"/>
    <n v="2104.5"/>
    <n v="10"/>
    <n v="350"/>
    <n v="736575"/>
    <n v="81023.25"/>
    <n v="655551.75"/>
    <n v="547170"/>
    <n v="108381.75"/>
    <d v="2014-07-01T00:00:00"/>
    <x v="4"/>
    <x v="4"/>
    <x v="0"/>
  </r>
  <r>
    <x v="2"/>
    <x v="0"/>
    <x v="2"/>
    <s v="High"/>
    <n v="4026"/>
    <n v="10"/>
    <n v="12"/>
    <n v="48312"/>
    <n v="5314.32"/>
    <n v="42997.68"/>
    <n v="12078"/>
    <n v="30919.68"/>
    <d v="2014-07-01T00:00:00"/>
    <x v="4"/>
    <x v="4"/>
    <x v="0"/>
  </r>
  <r>
    <x v="2"/>
    <x v="2"/>
    <x v="2"/>
    <s v="High"/>
    <n v="2425.5"/>
    <n v="10"/>
    <n v="12"/>
    <n v="29106"/>
    <n v="3201.66"/>
    <n v="25904.340000000004"/>
    <n v="7276.5"/>
    <n v="18627.840000000004"/>
    <d v="2014-07-01T00:00:00"/>
    <x v="4"/>
    <x v="4"/>
    <x v="0"/>
  </r>
  <r>
    <x v="0"/>
    <x v="0"/>
    <x v="2"/>
    <s v="High"/>
    <n v="2394"/>
    <n v="10"/>
    <n v="20"/>
    <n v="47880"/>
    <n v="5266.8"/>
    <n v="42613.2"/>
    <n v="23940"/>
    <n v="18673.199999999997"/>
    <d v="2014-08-01T00:00:00"/>
    <x v="5"/>
    <x v="5"/>
    <x v="0"/>
  </r>
  <r>
    <x v="1"/>
    <x v="3"/>
    <x v="2"/>
    <s v="High"/>
    <n v="1984"/>
    <n v="10"/>
    <n v="15"/>
    <n v="29760"/>
    <n v="3273.6"/>
    <n v="26486.400000000001"/>
    <n v="19840"/>
    <n v="6646.4000000000015"/>
    <d v="2014-08-01T00:00:00"/>
    <x v="5"/>
    <x v="5"/>
    <x v="0"/>
  </r>
  <r>
    <x v="3"/>
    <x v="2"/>
    <x v="2"/>
    <s v="High"/>
    <n v="2441"/>
    <n v="10"/>
    <n v="125"/>
    <n v="305125"/>
    <n v="33563.75"/>
    <n v="271561.25"/>
    <n v="292920"/>
    <n v="-21358.75"/>
    <d v="2014-10-01T00:00:00"/>
    <x v="7"/>
    <x v="7"/>
    <x v="0"/>
  </r>
  <r>
    <x v="0"/>
    <x v="1"/>
    <x v="2"/>
    <s v="High"/>
    <n v="2992"/>
    <n v="10"/>
    <n v="20"/>
    <n v="59840"/>
    <n v="6582.4"/>
    <n v="53257.599999999999"/>
    <n v="29920"/>
    <n v="23337.599999999999"/>
    <d v="2013-10-01T00:00:00"/>
    <x v="7"/>
    <x v="7"/>
    <x v="1"/>
  </r>
  <r>
    <x v="4"/>
    <x v="0"/>
    <x v="2"/>
    <s v="High"/>
    <n v="1366"/>
    <n v="10"/>
    <n v="300"/>
    <n v="409800"/>
    <n v="45078"/>
    <n v="364722"/>
    <n v="341500"/>
    <n v="23222"/>
    <d v="2014-11-01T00:00:00"/>
    <x v="9"/>
    <x v="9"/>
    <x v="0"/>
  </r>
  <r>
    <x v="0"/>
    <x v="2"/>
    <x v="3"/>
    <s v="High"/>
    <n v="2805"/>
    <n v="120"/>
    <n v="20"/>
    <n v="56100"/>
    <n v="6171"/>
    <n v="49929"/>
    <n v="28050"/>
    <n v="21879"/>
    <d v="2013-09-01T00:00:00"/>
    <x v="6"/>
    <x v="6"/>
    <x v="1"/>
  </r>
  <r>
    <x v="1"/>
    <x v="3"/>
    <x v="3"/>
    <s v="High"/>
    <n v="655"/>
    <n v="120"/>
    <n v="15"/>
    <n v="9825"/>
    <n v="1080.75"/>
    <n v="8744.25"/>
    <n v="6550"/>
    <n v="2194.25"/>
    <d v="2013-09-01T00:00:00"/>
    <x v="6"/>
    <x v="6"/>
    <x v="1"/>
  </r>
  <r>
    <x v="0"/>
    <x v="3"/>
    <x v="3"/>
    <s v="High"/>
    <n v="344"/>
    <n v="120"/>
    <n v="350"/>
    <n v="120400"/>
    <n v="13244"/>
    <n v="107156"/>
    <n v="89440"/>
    <n v="17716"/>
    <d v="2013-10-01T00:00:00"/>
    <x v="7"/>
    <x v="7"/>
    <x v="1"/>
  </r>
  <r>
    <x v="0"/>
    <x v="0"/>
    <x v="3"/>
    <s v="High"/>
    <n v="1808"/>
    <n v="120"/>
    <n v="7"/>
    <n v="12656"/>
    <n v="1392.16"/>
    <n v="11263.84"/>
    <n v="9040"/>
    <n v="2223.84"/>
    <d v="2014-11-01T00:00:00"/>
    <x v="9"/>
    <x v="9"/>
    <x v="0"/>
  </r>
  <r>
    <x v="2"/>
    <x v="2"/>
    <x v="4"/>
    <s v="High"/>
    <n v="1734"/>
    <n v="250"/>
    <n v="12"/>
    <n v="20808"/>
    <n v="2288.88"/>
    <n v="18519.12"/>
    <n v="5202"/>
    <n v="13317.119999999999"/>
    <d v="2014-01-01T00:00:00"/>
    <x v="0"/>
    <x v="0"/>
    <x v="0"/>
  </r>
  <r>
    <x v="3"/>
    <x v="3"/>
    <x v="4"/>
    <s v="High"/>
    <n v="554"/>
    <n v="250"/>
    <n v="125"/>
    <n v="69250"/>
    <n v="7617.5"/>
    <n v="61632.5"/>
    <n v="66480"/>
    <n v="-4847.5"/>
    <d v="2014-01-01T00:00:00"/>
    <x v="0"/>
    <x v="0"/>
    <x v="0"/>
  </r>
  <r>
    <x v="0"/>
    <x v="0"/>
    <x v="4"/>
    <s v="High"/>
    <n v="2935"/>
    <n v="250"/>
    <n v="20"/>
    <n v="58700"/>
    <n v="6457"/>
    <n v="52243"/>
    <n v="29350"/>
    <n v="22893"/>
    <d v="2013-11-01T00:00:00"/>
    <x v="9"/>
    <x v="9"/>
    <x v="1"/>
  </r>
  <r>
    <x v="3"/>
    <x v="1"/>
    <x v="5"/>
    <s v="High"/>
    <n v="3165"/>
    <n v="260"/>
    <n v="125"/>
    <n v="395625"/>
    <n v="43518.75"/>
    <n v="352106.25"/>
    <n v="379800"/>
    <n v="-27693.75"/>
    <d v="2014-01-01T00:00:00"/>
    <x v="0"/>
    <x v="0"/>
    <x v="0"/>
  </r>
  <r>
    <x v="0"/>
    <x v="3"/>
    <x v="5"/>
    <s v="High"/>
    <n v="2629"/>
    <n v="260"/>
    <n v="20"/>
    <n v="52580"/>
    <n v="5783.8"/>
    <n v="46796.2"/>
    <n v="26290"/>
    <n v="20506.199999999997"/>
    <d v="2014-01-01T00:00:00"/>
    <x v="0"/>
    <x v="0"/>
    <x v="0"/>
  </r>
  <r>
    <x v="3"/>
    <x v="2"/>
    <x v="5"/>
    <s v="High"/>
    <n v="1433"/>
    <n v="260"/>
    <n v="125"/>
    <n v="179125"/>
    <n v="19703.75"/>
    <n v="159421.25"/>
    <n v="171960"/>
    <n v="-12538.75"/>
    <d v="2014-05-01T00:00:00"/>
    <x v="11"/>
    <x v="11"/>
    <x v="0"/>
  </r>
  <r>
    <x v="3"/>
    <x v="3"/>
    <x v="5"/>
    <s v="High"/>
    <n v="947"/>
    <n v="260"/>
    <n v="125"/>
    <n v="118375"/>
    <n v="13021.25"/>
    <n v="105353.75"/>
    <n v="113640"/>
    <n v="-8286.25"/>
    <d v="2013-09-01T00:00:00"/>
    <x v="6"/>
    <x v="6"/>
    <x v="1"/>
  </r>
  <r>
    <x v="0"/>
    <x v="3"/>
    <x v="5"/>
    <s v="High"/>
    <n v="344"/>
    <n v="260"/>
    <n v="350"/>
    <n v="120400"/>
    <n v="13244"/>
    <n v="107156"/>
    <n v="89440"/>
    <n v="17716"/>
    <d v="2013-10-01T00:00:00"/>
    <x v="7"/>
    <x v="7"/>
    <x v="1"/>
  </r>
  <r>
    <x v="1"/>
    <x v="3"/>
    <x v="5"/>
    <s v="High"/>
    <n v="2157"/>
    <n v="260"/>
    <n v="15"/>
    <n v="32355"/>
    <n v="3559.05"/>
    <n v="28795.95"/>
    <n v="21570"/>
    <n v="7225.9500000000007"/>
    <d v="2014-12-01T00:00:00"/>
    <x v="2"/>
    <x v="2"/>
    <x v="0"/>
  </r>
  <r>
    <x v="0"/>
    <x v="4"/>
    <x v="2"/>
    <s v="High"/>
    <n v="380"/>
    <n v="10"/>
    <n v="7"/>
    <n v="2660"/>
    <n v="292.60000000000002"/>
    <n v="2367.4"/>
    <n v="1900"/>
    <n v="467.40000000000009"/>
    <d v="2013-09-01T00:00:00"/>
    <x v="6"/>
    <x v="6"/>
    <x v="1"/>
  </r>
  <r>
    <x v="0"/>
    <x v="3"/>
    <x v="0"/>
    <s v="High"/>
    <n v="886"/>
    <n v="3"/>
    <n v="350"/>
    <n v="310100"/>
    <n v="37212"/>
    <n v="272888"/>
    <n v="230360"/>
    <n v="42528"/>
    <d v="2014-06-01T00:00:00"/>
    <x v="1"/>
    <x v="1"/>
    <x v="0"/>
  </r>
  <r>
    <x v="3"/>
    <x v="0"/>
    <x v="0"/>
    <s v="High"/>
    <n v="2416"/>
    <n v="3"/>
    <n v="125"/>
    <n v="302000"/>
    <n v="36240"/>
    <n v="265760"/>
    <n v="289920"/>
    <n v="-24160"/>
    <d v="2013-09-01T00:00:00"/>
    <x v="6"/>
    <x v="6"/>
    <x v="1"/>
  </r>
  <r>
    <x v="3"/>
    <x v="3"/>
    <x v="0"/>
    <s v="High"/>
    <n v="2156"/>
    <n v="3"/>
    <n v="125"/>
    <n v="269500"/>
    <n v="32340"/>
    <n v="237160"/>
    <n v="258720"/>
    <n v="-21560"/>
    <d v="2014-10-01T00:00:00"/>
    <x v="7"/>
    <x v="7"/>
    <x v="0"/>
  </r>
  <r>
    <x v="1"/>
    <x v="0"/>
    <x v="0"/>
    <s v="High"/>
    <n v="2689"/>
    <n v="3"/>
    <n v="15"/>
    <n v="40335"/>
    <n v="4840.2"/>
    <n v="35494.800000000003"/>
    <n v="26890"/>
    <n v="8604.8000000000029"/>
    <d v="2014-11-01T00:00:00"/>
    <x v="9"/>
    <x v="9"/>
    <x v="0"/>
  </r>
  <r>
    <x v="1"/>
    <x v="4"/>
    <x v="1"/>
    <s v="High"/>
    <n v="677"/>
    <n v="5"/>
    <n v="15"/>
    <n v="10155"/>
    <n v="1218.5999999999999"/>
    <n v="8936.4"/>
    <n v="6770"/>
    <n v="2166.3999999999996"/>
    <d v="2014-03-01T00:00:00"/>
    <x v="3"/>
    <x v="3"/>
    <x v="0"/>
  </r>
  <r>
    <x v="4"/>
    <x v="2"/>
    <x v="1"/>
    <s v="High"/>
    <n v="1773"/>
    <n v="5"/>
    <n v="300"/>
    <n v="531900"/>
    <n v="63828"/>
    <n v="468072"/>
    <n v="443250"/>
    <n v="24822"/>
    <d v="2014-04-01T00:00:00"/>
    <x v="10"/>
    <x v="10"/>
    <x v="0"/>
  </r>
  <r>
    <x v="0"/>
    <x v="3"/>
    <x v="1"/>
    <s v="High"/>
    <n v="2420"/>
    <n v="5"/>
    <n v="7"/>
    <n v="16940"/>
    <n v="2032.8"/>
    <n v="14907.2"/>
    <n v="12100"/>
    <n v="2807.2000000000007"/>
    <d v="2014-09-01T00:00:00"/>
    <x v="6"/>
    <x v="6"/>
    <x v="0"/>
  </r>
  <r>
    <x v="0"/>
    <x v="0"/>
    <x v="1"/>
    <s v="High"/>
    <n v="2734"/>
    <n v="5"/>
    <n v="7"/>
    <n v="19138"/>
    <n v="2296.56"/>
    <n v="16841.439999999999"/>
    <n v="13670"/>
    <n v="3171.4399999999987"/>
    <d v="2014-10-01T00:00:00"/>
    <x v="7"/>
    <x v="7"/>
    <x v="0"/>
  </r>
  <r>
    <x v="0"/>
    <x v="3"/>
    <x v="1"/>
    <s v="High"/>
    <n v="1715"/>
    <n v="5"/>
    <n v="20"/>
    <n v="34300"/>
    <n v="4116"/>
    <n v="30184"/>
    <n v="17150"/>
    <n v="13034"/>
    <d v="2013-10-01T00:00:00"/>
    <x v="7"/>
    <x v="7"/>
    <x v="1"/>
  </r>
  <r>
    <x v="4"/>
    <x v="2"/>
    <x v="1"/>
    <s v="High"/>
    <n v="1186"/>
    <n v="5"/>
    <n v="300"/>
    <n v="355800"/>
    <n v="42696"/>
    <n v="313104"/>
    <n v="296500"/>
    <n v="16604"/>
    <d v="2013-12-01T00:00:00"/>
    <x v="2"/>
    <x v="2"/>
    <x v="1"/>
  </r>
  <r>
    <x v="4"/>
    <x v="4"/>
    <x v="2"/>
    <s v="High"/>
    <n v="3495"/>
    <n v="10"/>
    <n v="300"/>
    <n v="1048500"/>
    <n v="125820"/>
    <n v="922680"/>
    <n v="873750"/>
    <n v="48930"/>
    <d v="2014-01-01T00:00:00"/>
    <x v="0"/>
    <x v="0"/>
    <x v="0"/>
  </r>
  <r>
    <x v="0"/>
    <x v="3"/>
    <x v="2"/>
    <s v="High"/>
    <n v="886"/>
    <n v="10"/>
    <n v="350"/>
    <n v="310100"/>
    <n v="37212"/>
    <n v="272888"/>
    <n v="230360"/>
    <n v="42528"/>
    <d v="2014-06-01T00:00:00"/>
    <x v="1"/>
    <x v="1"/>
    <x v="0"/>
  </r>
  <r>
    <x v="3"/>
    <x v="3"/>
    <x v="2"/>
    <s v="High"/>
    <n v="2156"/>
    <n v="10"/>
    <n v="125"/>
    <n v="269500"/>
    <n v="32340"/>
    <n v="237160"/>
    <n v="258720"/>
    <n v="-21560"/>
    <d v="2014-10-01T00:00:00"/>
    <x v="7"/>
    <x v="7"/>
    <x v="0"/>
  </r>
  <r>
    <x v="0"/>
    <x v="3"/>
    <x v="2"/>
    <s v="High"/>
    <n v="905"/>
    <n v="10"/>
    <n v="20"/>
    <n v="18100"/>
    <n v="2172"/>
    <n v="15928"/>
    <n v="9050"/>
    <n v="6878"/>
    <d v="2014-10-01T00:00:00"/>
    <x v="7"/>
    <x v="7"/>
    <x v="0"/>
  </r>
  <r>
    <x v="0"/>
    <x v="3"/>
    <x v="2"/>
    <s v="High"/>
    <n v="1715"/>
    <n v="10"/>
    <n v="20"/>
    <n v="34300"/>
    <n v="4116"/>
    <n v="30184"/>
    <n v="17150"/>
    <n v="13034"/>
    <d v="2013-10-01T00:00:00"/>
    <x v="7"/>
    <x v="7"/>
    <x v="1"/>
  </r>
  <r>
    <x v="0"/>
    <x v="2"/>
    <x v="2"/>
    <s v="High"/>
    <n v="1594"/>
    <n v="10"/>
    <n v="350"/>
    <n v="557900"/>
    <n v="66948"/>
    <n v="490952"/>
    <n v="414440"/>
    <n v="76512"/>
    <d v="2014-11-01T00:00:00"/>
    <x v="9"/>
    <x v="9"/>
    <x v="0"/>
  </r>
  <r>
    <x v="4"/>
    <x v="1"/>
    <x v="2"/>
    <s v="High"/>
    <n v="1359"/>
    <n v="10"/>
    <n v="300"/>
    <n v="407700"/>
    <n v="48924"/>
    <n v="358776"/>
    <n v="339750"/>
    <n v="19026"/>
    <d v="2014-11-01T00:00:00"/>
    <x v="9"/>
    <x v="9"/>
    <x v="0"/>
  </r>
  <r>
    <x v="4"/>
    <x v="3"/>
    <x v="2"/>
    <s v="High"/>
    <n v="2150"/>
    <n v="10"/>
    <n v="300"/>
    <n v="645000"/>
    <n v="77400"/>
    <n v="567600"/>
    <n v="537500"/>
    <n v="30100"/>
    <d v="2014-11-01T00:00:00"/>
    <x v="9"/>
    <x v="9"/>
    <x v="0"/>
  </r>
  <r>
    <x v="0"/>
    <x v="3"/>
    <x v="2"/>
    <s v="High"/>
    <n v="1197"/>
    <n v="10"/>
    <n v="350"/>
    <n v="418950"/>
    <n v="50274"/>
    <n v="368676"/>
    <n v="311220"/>
    <n v="57456"/>
    <d v="2014-11-01T00:00:00"/>
    <x v="9"/>
    <x v="9"/>
    <x v="0"/>
  </r>
  <r>
    <x v="1"/>
    <x v="3"/>
    <x v="2"/>
    <s v="High"/>
    <n v="380"/>
    <n v="10"/>
    <n v="15"/>
    <n v="5700"/>
    <n v="684"/>
    <n v="5016"/>
    <n v="3800"/>
    <n v="1216"/>
    <d v="2013-12-01T00:00:00"/>
    <x v="2"/>
    <x v="2"/>
    <x v="1"/>
  </r>
  <r>
    <x v="0"/>
    <x v="3"/>
    <x v="2"/>
    <s v="High"/>
    <n v="1233"/>
    <n v="10"/>
    <n v="20"/>
    <n v="24660"/>
    <n v="2959.2"/>
    <n v="21700.799999999999"/>
    <n v="12330"/>
    <n v="9370.7999999999993"/>
    <d v="2014-12-01T00:00:00"/>
    <x v="2"/>
    <x v="2"/>
    <x v="0"/>
  </r>
  <r>
    <x v="0"/>
    <x v="3"/>
    <x v="3"/>
    <s v="High"/>
    <n v="1395"/>
    <n v="120"/>
    <n v="350"/>
    <n v="488250"/>
    <n v="58590"/>
    <n v="429660"/>
    <n v="362700"/>
    <n v="66960"/>
    <d v="2014-07-01T00:00:00"/>
    <x v="4"/>
    <x v="4"/>
    <x v="0"/>
  </r>
  <r>
    <x v="0"/>
    <x v="4"/>
    <x v="3"/>
    <s v="High"/>
    <n v="986"/>
    <n v="120"/>
    <n v="350"/>
    <n v="345100"/>
    <n v="41412"/>
    <n v="303688"/>
    <n v="256360"/>
    <n v="47328"/>
    <d v="2014-10-01T00:00:00"/>
    <x v="7"/>
    <x v="7"/>
    <x v="0"/>
  </r>
  <r>
    <x v="0"/>
    <x v="3"/>
    <x v="3"/>
    <s v="High"/>
    <n v="905"/>
    <n v="120"/>
    <n v="20"/>
    <n v="18100"/>
    <n v="2172"/>
    <n v="15928"/>
    <n v="9050"/>
    <n v="6878"/>
    <d v="2014-10-01T00:00:00"/>
    <x v="7"/>
    <x v="7"/>
    <x v="0"/>
  </r>
  <r>
    <x v="2"/>
    <x v="0"/>
    <x v="4"/>
    <s v="High"/>
    <n v="2109"/>
    <n v="250"/>
    <n v="12"/>
    <n v="25308"/>
    <n v="3036.96"/>
    <n v="22271.040000000001"/>
    <n v="6327"/>
    <n v="15944.04"/>
    <d v="2014-05-01T00:00:00"/>
    <x v="11"/>
    <x v="11"/>
    <x v="0"/>
  </r>
  <r>
    <x v="1"/>
    <x v="2"/>
    <x v="4"/>
    <s v="High"/>
    <n v="3874.5"/>
    <n v="250"/>
    <n v="15"/>
    <n v="58117.5"/>
    <n v="6974.0999999999995"/>
    <n v="51143.399999999994"/>
    <n v="38745"/>
    <n v="12398.399999999998"/>
    <d v="2014-07-01T00:00:00"/>
    <x v="4"/>
    <x v="4"/>
    <x v="0"/>
  </r>
  <r>
    <x v="0"/>
    <x v="0"/>
    <x v="4"/>
    <s v="High"/>
    <n v="623"/>
    <n v="250"/>
    <n v="350"/>
    <n v="218050"/>
    <n v="26166"/>
    <n v="191884"/>
    <n v="161980"/>
    <n v="29904"/>
    <d v="2013-09-01T00:00:00"/>
    <x v="6"/>
    <x v="6"/>
    <x v="1"/>
  </r>
  <r>
    <x v="0"/>
    <x v="4"/>
    <x v="4"/>
    <s v="High"/>
    <n v="986"/>
    <n v="250"/>
    <n v="350"/>
    <n v="345100"/>
    <n v="41412"/>
    <n v="303688"/>
    <n v="256360"/>
    <n v="47328"/>
    <d v="2014-10-01T00:00:00"/>
    <x v="7"/>
    <x v="7"/>
    <x v="0"/>
  </r>
  <r>
    <x v="3"/>
    <x v="4"/>
    <x v="4"/>
    <s v="High"/>
    <n v="2387"/>
    <n v="250"/>
    <n v="125"/>
    <n v="298375"/>
    <n v="35805"/>
    <n v="262570"/>
    <n v="286440"/>
    <n v="-23870"/>
    <d v="2014-11-01T00:00:00"/>
    <x v="9"/>
    <x v="9"/>
    <x v="0"/>
  </r>
  <r>
    <x v="0"/>
    <x v="3"/>
    <x v="4"/>
    <s v="High"/>
    <n v="1233"/>
    <n v="250"/>
    <n v="20"/>
    <n v="24660"/>
    <n v="2959.2"/>
    <n v="21700.799999999999"/>
    <n v="12330"/>
    <n v="9370.7999999999993"/>
    <d v="2014-12-01T00:00:00"/>
    <x v="2"/>
    <x v="2"/>
    <x v="0"/>
  </r>
  <r>
    <x v="0"/>
    <x v="4"/>
    <x v="5"/>
    <s v="High"/>
    <n v="270"/>
    <n v="260"/>
    <n v="350"/>
    <n v="94500"/>
    <n v="11340"/>
    <n v="83160"/>
    <n v="70200"/>
    <n v="12960"/>
    <d v="2014-02-01T00:00:00"/>
    <x v="8"/>
    <x v="8"/>
    <x v="0"/>
  </r>
  <r>
    <x v="0"/>
    <x v="2"/>
    <x v="5"/>
    <s v="High"/>
    <n v="3421.5"/>
    <n v="260"/>
    <n v="7"/>
    <n v="23950.5"/>
    <n v="2874.06"/>
    <n v="21076.44"/>
    <n v="17107.5"/>
    <n v="3968.9399999999987"/>
    <d v="2014-07-01T00:00:00"/>
    <x v="4"/>
    <x v="4"/>
    <x v="0"/>
  </r>
  <r>
    <x v="0"/>
    <x v="0"/>
    <x v="5"/>
    <s v="High"/>
    <n v="2734"/>
    <n v="260"/>
    <n v="7"/>
    <n v="19138"/>
    <n v="2296.56"/>
    <n v="16841.439999999999"/>
    <n v="13670"/>
    <n v="3171.4399999999987"/>
    <d v="2014-10-01T00:00:00"/>
    <x v="7"/>
    <x v="7"/>
    <x v="0"/>
  </r>
  <r>
    <x v="1"/>
    <x v="4"/>
    <x v="5"/>
    <s v="High"/>
    <n v="2548"/>
    <n v="260"/>
    <n v="15"/>
    <n v="38220"/>
    <n v="4586.3999999999996"/>
    <n v="33633.599999999999"/>
    <n v="25480"/>
    <n v="8153.5999999999985"/>
    <d v="2013-11-01T00:00:00"/>
    <x v="9"/>
    <x v="9"/>
    <x v="1"/>
  </r>
  <r>
    <x v="0"/>
    <x v="2"/>
    <x v="0"/>
    <s v="High"/>
    <n v="2521.5"/>
    <n v="3"/>
    <n v="20"/>
    <n v="50430"/>
    <n v="6051.6"/>
    <n v="44378.399999999994"/>
    <n v="25215"/>
    <n v="19163.399999999998"/>
    <d v="2014-01-01T00:00:00"/>
    <x v="0"/>
    <x v="0"/>
    <x v="0"/>
  </r>
  <r>
    <x v="2"/>
    <x v="3"/>
    <x v="1"/>
    <s v="High"/>
    <n v="2661"/>
    <n v="5"/>
    <n v="12"/>
    <n v="31932"/>
    <n v="3831.84"/>
    <n v="28100.16"/>
    <n v="7983"/>
    <n v="20117.16"/>
    <d v="2014-05-01T00:00:00"/>
    <x v="11"/>
    <x v="11"/>
    <x v="0"/>
  </r>
  <r>
    <x v="0"/>
    <x v="1"/>
    <x v="2"/>
    <s v="High"/>
    <n v="1531"/>
    <n v="10"/>
    <n v="20"/>
    <n v="30620"/>
    <n v="3674.4"/>
    <n v="26945.599999999999"/>
    <n v="15310"/>
    <n v="11635.599999999999"/>
    <d v="2014-12-01T00:00:00"/>
    <x v="2"/>
    <x v="2"/>
    <x v="0"/>
  </r>
  <r>
    <x v="0"/>
    <x v="2"/>
    <x v="4"/>
    <s v="High"/>
    <n v="1491"/>
    <n v="250"/>
    <n v="7"/>
    <n v="10437"/>
    <n v="1252.44"/>
    <n v="9184.56"/>
    <n v="7455"/>
    <n v="1729.5599999999995"/>
    <d v="2014-03-01T00:00:00"/>
    <x v="3"/>
    <x v="3"/>
    <x v="0"/>
  </r>
  <r>
    <x v="0"/>
    <x v="1"/>
    <x v="4"/>
    <s v="High"/>
    <n v="1531"/>
    <n v="250"/>
    <n v="20"/>
    <n v="30620"/>
    <n v="3674.4"/>
    <n v="26945.599999999999"/>
    <n v="15310"/>
    <n v="11635.599999999999"/>
    <d v="2014-12-01T00:00:00"/>
    <x v="2"/>
    <x v="2"/>
    <x v="0"/>
  </r>
  <r>
    <x v="2"/>
    <x v="0"/>
    <x v="5"/>
    <s v="High"/>
    <n v="2761"/>
    <n v="260"/>
    <n v="12"/>
    <n v="33132"/>
    <n v="3975.84"/>
    <n v="29156.16"/>
    <n v="8283"/>
    <n v="20873.16"/>
    <d v="2013-09-01T00:00:00"/>
    <x v="6"/>
    <x v="6"/>
    <x v="1"/>
  </r>
  <r>
    <x v="1"/>
    <x v="4"/>
    <x v="0"/>
    <s v="High"/>
    <n v="2567"/>
    <n v="3"/>
    <n v="15"/>
    <n v="38505"/>
    <n v="5005.6499999999996"/>
    <n v="33499.35"/>
    <n v="25670"/>
    <n v="7829.3499999999985"/>
    <d v="2014-06-01T00:00:00"/>
    <x v="1"/>
    <x v="1"/>
    <x v="0"/>
  </r>
  <r>
    <x v="1"/>
    <x v="4"/>
    <x v="4"/>
    <s v="High"/>
    <n v="2567"/>
    <n v="250"/>
    <n v="15"/>
    <n v="38505"/>
    <n v="5005.6499999999996"/>
    <n v="33499.35"/>
    <n v="25670"/>
    <n v="7829.3499999999985"/>
    <d v="2014-06-01T00:00:00"/>
    <x v="1"/>
    <x v="1"/>
    <x v="0"/>
  </r>
  <r>
    <x v="0"/>
    <x v="0"/>
    <x v="0"/>
    <s v="High"/>
    <n v="923"/>
    <n v="3"/>
    <n v="350"/>
    <n v="323050"/>
    <n v="41996.5"/>
    <n v="281053.5"/>
    <n v="239980"/>
    <n v="41073.5"/>
    <d v="2014-03-01T00:00:00"/>
    <x v="3"/>
    <x v="3"/>
    <x v="0"/>
  </r>
  <r>
    <x v="0"/>
    <x v="2"/>
    <x v="0"/>
    <s v="High"/>
    <n v="1790"/>
    <n v="3"/>
    <n v="350"/>
    <n v="626500"/>
    <n v="81445"/>
    <n v="545055"/>
    <n v="465400"/>
    <n v="79655"/>
    <d v="2014-03-01T00:00:00"/>
    <x v="3"/>
    <x v="3"/>
    <x v="0"/>
  </r>
  <r>
    <x v="0"/>
    <x v="1"/>
    <x v="0"/>
    <s v="High"/>
    <n v="442"/>
    <n v="3"/>
    <n v="20"/>
    <n v="8840"/>
    <n v="1149.2"/>
    <n v="7690.8"/>
    <n v="4420"/>
    <n v="3270.8"/>
    <d v="2013-09-01T00:00:00"/>
    <x v="6"/>
    <x v="6"/>
    <x v="1"/>
  </r>
  <r>
    <x v="0"/>
    <x v="4"/>
    <x v="1"/>
    <s v="High"/>
    <n v="982.5"/>
    <n v="5"/>
    <n v="350"/>
    <n v="343875"/>
    <n v="44703.75"/>
    <n v="299171.25"/>
    <n v="255450"/>
    <n v="43721.25"/>
    <d v="2014-01-01T00:00:00"/>
    <x v="0"/>
    <x v="0"/>
    <x v="0"/>
  </r>
  <r>
    <x v="0"/>
    <x v="4"/>
    <x v="1"/>
    <s v="High"/>
    <n v="1298"/>
    <n v="5"/>
    <n v="7"/>
    <n v="9086"/>
    <n v="1181.18"/>
    <n v="7904.82"/>
    <n v="6490"/>
    <n v="1414.8199999999997"/>
    <d v="2014-02-01T00:00:00"/>
    <x v="8"/>
    <x v="8"/>
    <x v="0"/>
  </r>
  <r>
    <x v="2"/>
    <x v="3"/>
    <x v="1"/>
    <s v="High"/>
    <n v="604"/>
    <n v="5"/>
    <n v="12"/>
    <n v="7248"/>
    <n v="942.24"/>
    <n v="6305.76"/>
    <n v="1812"/>
    <n v="4493.76"/>
    <d v="2014-06-01T00:00:00"/>
    <x v="1"/>
    <x v="1"/>
    <x v="0"/>
  </r>
  <r>
    <x v="0"/>
    <x v="3"/>
    <x v="1"/>
    <s v="High"/>
    <n v="2255"/>
    <n v="5"/>
    <n v="20"/>
    <n v="45100"/>
    <n v="5863"/>
    <n v="39237"/>
    <n v="22550"/>
    <n v="16687"/>
    <d v="2014-07-01T00:00:00"/>
    <x v="4"/>
    <x v="4"/>
    <x v="0"/>
  </r>
  <r>
    <x v="0"/>
    <x v="0"/>
    <x v="1"/>
    <s v="High"/>
    <n v="1249"/>
    <n v="5"/>
    <n v="20"/>
    <n v="24980"/>
    <n v="3247.4"/>
    <n v="21732.6"/>
    <n v="12490"/>
    <n v="9242.5999999999985"/>
    <d v="2014-10-01T00:00:00"/>
    <x v="7"/>
    <x v="7"/>
    <x v="0"/>
  </r>
  <r>
    <x v="0"/>
    <x v="4"/>
    <x v="2"/>
    <s v="High"/>
    <n v="1438.5"/>
    <n v="10"/>
    <n v="7"/>
    <n v="10069.5"/>
    <n v="1309.0350000000001"/>
    <n v="8760.4650000000001"/>
    <n v="7192.5"/>
    <n v="1567.9649999999992"/>
    <d v="2014-01-01T00:00:00"/>
    <x v="0"/>
    <x v="0"/>
    <x v="0"/>
  </r>
  <r>
    <x v="4"/>
    <x v="1"/>
    <x v="2"/>
    <s v="High"/>
    <n v="807"/>
    <n v="10"/>
    <n v="300"/>
    <n v="242100"/>
    <n v="31473"/>
    <n v="210627"/>
    <n v="201750"/>
    <n v="8877"/>
    <d v="2014-01-01T00:00:00"/>
    <x v="0"/>
    <x v="0"/>
    <x v="0"/>
  </r>
  <r>
    <x v="0"/>
    <x v="4"/>
    <x v="2"/>
    <s v="High"/>
    <n v="2641"/>
    <n v="10"/>
    <n v="20"/>
    <n v="52820"/>
    <n v="6866.6"/>
    <n v="45953.4"/>
    <n v="26410"/>
    <n v="19543.400000000001"/>
    <d v="2014-02-01T00:00:00"/>
    <x v="8"/>
    <x v="8"/>
    <x v="0"/>
  </r>
  <r>
    <x v="0"/>
    <x v="1"/>
    <x v="2"/>
    <s v="High"/>
    <n v="2708"/>
    <n v="10"/>
    <n v="20"/>
    <n v="54160"/>
    <n v="7040.8"/>
    <n v="47119.199999999997"/>
    <n v="27080"/>
    <n v="20039.199999999997"/>
    <d v="2014-02-01T00:00:00"/>
    <x v="8"/>
    <x v="8"/>
    <x v="0"/>
  </r>
  <r>
    <x v="0"/>
    <x v="0"/>
    <x v="2"/>
    <s v="High"/>
    <n v="2632"/>
    <n v="10"/>
    <n v="350"/>
    <n v="921200"/>
    <n v="119756"/>
    <n v="801444"/>
    <n v="684320"/>
    <n v="117124"/>
    <d v="2014-06-01T00:00:00"/>
    <x v="1"/>
    <x v="1"/>
    <x v="0"/>
  </r>
  <r>
    <x v="3"/>
    <x v="0"/>
    <x v="2"/>
    <s v="High"/>
    <n v="1583"/>
    <n v="10"/>
    <n v="125"/>
    <n v="197875"/>
    <n v="25723.75"/>
    <n v="172151.25"/>
    <n v="189960"/>
    <n v="-17808.75"/>
    <d v="2014-06-01T00:00:00"/>
    <x v="1"/>
    <x v="1"/>
    <x v="0"/>
  </r>
  <r>
    <x v="2"/>
    <x v="3"/>
    <x v="2"/>
    <s v="High"/>
    <n v="571"/>
    <n v="10"/>
    <n v="12"/>
    <n v="6852"/>
    <n v="890.76"/>
    <n v="5961.24"/>
    <n v="1713"/>
    <n v="4248.24"/>
    <d v="2014-07-01T00:00:00"/>
    <x v="4"/>
    <x v="4"/>
    <x v="0"/>
  </r>
  <r>
    <x v="0"/>
    <x v="2"/>
    <x v="2"/>
    <s v="High"/>
    <n v="2696"/>
    <n v="10"/>
    <n v="7"/>
    <n v="18872"/>
    <n v="2453.36"/>
    <n v="16418.64"/>
    <n v="13480"/>
    <n v="2938.6399999999994"/>
    <d v="2014-08-01T00:00:00"/>
    <x v="5"/>
    <x v="5"/>
    <x v="0"/>
  </r>
  <r>
    <x v="1"/>
    <x v="0"/>
    <x v="2"/>
    <s v="High"/>
    <n v="1565"/>
    <n v="10"/>
    <n v="15"/>
    <n v="23475"/>
    <n v="3051.75"/>
    <n v="20423.25"/>
    <n v="15650"/>
    <n v="4773.25"/>
    <d v="2014-10-01T00:00:00"/>
    <x v="7"/>
    <x v="7"/>
    <x v="0"/>
  </r>
  <r>
    <x v="0"/>
    <x v="0"/>
    <x v="2"/>
    <s v="High"/>
    <n v="1249"/>
    <n v="10"/>
    <n v="20"/>
    <n v="24980"/>
    <n v="3247.4"/>
    <n v="21732.6"/>
    <n v="12490"/>
    <n v="9242.5999999999985"/>
    <d v="2014-10-01T00:00:00"/>
    <x v="7"/>
    <x v="7"/>
    <x v="0"/>
  </r>
  <r>
    <x v="0"/>
    <x v="1"/>
    <x v="2"/>
    <s v="High"/>
    <n v="357"/>
    <n v="10"/>
    <n v="350"/>
    <n v="124950"/>
    <n v="16243.5"/>
    <n v="108706.5"/>
    <n v="92820"/>
    <n v="15886.5"/>
    <d v="2014-11-01T00:00:00"/>
    <x v="9"/>
    <x v="9"/>
    <x v="0"/>
  </r>
  <r>
    <x v="2"/>
    <x v="1"/>
    <x v="2"/>
    <s v="High"/>
    <n v="1013"/>
    <n v="10"/>
    <n v="12"/>
    <n v="12156"/>
    <n v="1580.28"/>
    <n v="10575.72"/>
    <n v="3039"/>
    <n v="7536.7199999999993"/>
    <d v="2014-12-01T00:00:00"/>
    <x v="2"/>
    <x v="2"/>
    <x v="0"/>
  </r>
  <r>
    <x v="1"/>
    <x v="2"/>
    <x v="3"/>
    <s v="High"/>
    <n v="3997.5"/>
    <n v="120"/>
    <n v="15"/>
    <n v="59962.5"/>
    <n v="7795.125"/>
    <n v="52167.375"/>
    <n v="39975"/>
    <n v="12192.375"/>
    <d v="2014-01-01T00:00:00"/>
    <x v="0"/>
    <x v="0"/>
    <x v="0"/>
  </r>
  <r>
    <x v="0"/>
    <x v="0"/>
    <x v="3"/>
    <s v="High"/>
    <n v="2632"/>
    <n v="120"/>
    <n v="350"/>
    <n v="921200"/>
    <n v="119756"/>
    <n v="801444"/>
    <n v="684320"/>
    <n v="117124"/>
    <d v="2014-06-01T00:00:00"/>
    <x v="1"/>
    <x v="1"/>
    <x v="0"/>
  </r>
  <r>
    <x v="0"/>
    <x v="2"/>
    <x v="3"/>
    <s v="High"/>
    <n v="1190"/>
    <n v="120"/>
    <n v="7"/>
    <n v="8330"/>
    <n v="1082.9000000000001"/>
    <n v="7247.1"/>
    <n v="5950"/>
    <n v="1297.1000000000004"/>
    <d v="2014-06-01T00:00:00"/>
    <x v="1"/>
    <x v="1"/>
    <x v="0"/>
  </r>
  <r>
    <x v="2"/>
    <x v="3"/>
    <x v="3"/>
    <s v="High"/>
    <n v="604"/>
    <n v="120"/>
    <n v="12"/>
    <n v="7248"/>
    <n v="942.24"/>
    <n v="6305.76"/>
    <n v="1812"/>
    <n v="4493.76"/>
    <d v="2014-06-01T00:00:00"/>
    <x v="1"/>
    <x v="1"/>
    <x v="0"/>
  </r>
  <r>
    <x v="1"/>
    <x v="1"/>
    <x v="3"/>
    <s v="High"/>
    <n v="660"/>
    <n v="120"/>
    <n v="15"/>
    <n v="9900"/>
    <n v="1287"/>
    <n v="8613"/>
    <n v="6600"/>
    <n v="2013"/>
    <d v="2013-09-01T00:00:00"/>
    <x v="6"/>
    <x v="6"/>
    <x v="1"/>
  </r>
  <r>
    <x v="2"/>
    <x v="3"/>
    <x v="3"/>
    <s v="High"/>
    <n v="410"/>
    <n v="120"/>
    <n v="12"/>
    <n v="4920"/>
    <n v="639.6"/>
    <n v="4280.3999999999996"/>
    <n v="1230"/>
    <n v="3050.3999999999996"/>
    <d v="2014-10-01T00:00:00"/>
    <x v="7"/>
    <x v="7"/>
    <x v="0"/>
  </r>
  <r>
    <x v="4"/>
    <x v="3"/>
    <x v="3"/>
    <s v="High"/>
    <n v="2605"/>
    <n v="120"/>
    <n v="300"/>
    <n v="781500"/>
    <n v="101595"/>
    <n v="679905"/>
    <n v="651250"/>
    <n v="28655"/>
    <d v="2013-11-01T00:00:00"/>
    <x v="9"/>
    <x v="9"/>
    <x v="1"/>
  </r>
  <r>
    <x v="2"/>
    <x v="1"/>
    <x v="3"/>
    <s v="High"/>
    <n v="1013"/>
    <n v="120"/>
    <n v="12"/>
    <n v="12156"/>
    <n v="1580.28"/>
    <n v="10575.72"/>
    <n v="3039"/>
    <n v="7536.7199999999993"/>
    <d v="2014-12-01T00:00:00"/>
    <x v="2"/>
    <x v="2"/>
    <x v="0"/>
  </r>
  <r>
    <x v="3"/>
    <x v="0"/>
    <x v="4"/>
    <s v="High"/>
    <n v="1583"/>
    <n v="250"/>
    <n v="125"/>
    <n v="197875"/>
    <n v="25723.75"/>
    <n v="172151.25"/>
    <n v="189960"/>
    <n v="-17808.75"/>
    <d v="2014-06-01T00:00:00"/>
    <x v="1"/>
    <x v="1"/>
    <x v="0"/>
  </r>
  <r>
    <x v="1"/>
    <x v="0"/>
    <x v="4"/>
    <s v="High"/>
    <n v="1565"/>
    <n v="250"/>
    <n v="15"/>
    <n v="23475"/>
    <n v="3051.75"/>
    <n v="20423.25"/>
    <n v="15650"/>
    <n v="4773.25"/>
    <d v="2014-10-01T00:00:00"/>
    <x v="7"/>
    <x v="7"/>
    <x v="0"/>
  </r>
  <r>
    <x v="3"/>
    <x v="0"/>
    <x v="5"/>
    <s v="High"/>
    <n v="1659"/>
    <n v="260"/>
    <n v="125"/>
    <n v="207375"/>
    <n v="26958.75"/>
    <n v="180416.25"/>
    <n v="199080"/>
    <n v="-18663.75"/>
    <d v="2014-01-01T00:00:00"/>
    <x v="0"/>
    <x v="0"/>
    <x v="0"/>
  </r>
  <r>
    <x v="0"/>
    <x v="2"/>
    <x v="5"/>
    <s v="High"/>
    <n v="1190"/>
    <n v="260"/>
    <n v="7"/>
    <n v="8330"/>
    <n v="1082.9000000000001"/>
    <n v="7247.1"/>
    <n v="5950"/>
    <n v="1297.1000000000004"/>
    <d v="2014-06-01T00:00:00"/>
    <x v="1"/>
    <x v="1"/>
    <x v="0"/>
  </r>
  <r>
    <x v="2"/>
    <x v="3"/>
    <x v="5"/>
    <s v="High"/>
    <n v="410"/>
    <n v="260"/>
    <n v="12"/>
    <n v="4920"/>
    <n v="639.6"/>
    <n v="4280.3999999999996"/>
    <n v="1230"/>
    <n v="3050.3999999999996"/>
    <d v="2014-10-01T00:00:00"/>
    <x v="7"/>
    <x v="7"/>
    <x v="0"/>
  </r>
  <r>
    <x v="2"/>
    <x v="1"/>
    <x v="5"/>
    <s v="High"/>
    <n v="1770"/>
    <n v="260"/>
    <n v="12"/>
    <n v="21240"/>
    <n v="2761.2"/>
    <n v="18478.8"/>
    <n v="5310"/>
    <n v="13168.8"/>
    <d v="2013-12-01T00:00:00"/>
    <x v="2"/>
    <x v="2"/>
    <x v="1"/>
  </r>
  <r>
    <x v="0"/>
    <x v="3"/>
    <x v="0"/>
    <s v="High"/>
    <n v="2579"/>
    <n v="3"/>
    <n v="20"/>
    <n v="51580"/>
    <n v="7221.2"/>
    <n v="44358.8"/>
    <n v="25790"/>
    <n v="18568.800000000003"/>
    <d v="2014-04-01T00:00:00"/>
    <x v="10"/>
    <x v="10"/>
    <x v="0"/>
  </r>
  <r>
    <x v="0"/>
    <x v="4"/>
    <x v="0"/>
    <s v="High"/>
    <n v="1743"/>
    <n v="3"/>
    <n v="20"/>
    <n v="34860"/>
    <n v="4880.3999999999996"/>
    <n v="29979.599999999999"/>
    <n v="17430"/>
    <n v="12549.599999999999"/>
    <d v="2014-05-01T00:00:00"/>
    <x v="11"/>
    <x v="11"/>
    <x v="0"/>
  </r>
  <r>
    <x v="0"/>
    <x v="4"/>
    <x v="0"/>
    <s v="High"/>
    <n v="2996"/>
    <n v="3"/>
    <n v="7"/>
    <n v="20972"/>
    <n v="2936.08"/>
    <n v="18035.919999999998"/>
    <n v="14980"/>
    <n v="3055.9199999999983"/>
    <d v="2013-10-01T00:00:00"/>
    <x v="7"/>
    <x v="7"/>
    <x v="1"/>
  </r>
  <r>
    <x v="0"/>
    <x v="1"/>
    <x v="0"/>
    <s v="High"/>
    <n v="280"/>
    <n v="3"/>
    <n v="7"/>
    <n v="1960"/>
    <n v="274.39999999999998"/>
    <n v="1685.6"/>
    <n v="1400"/>
    <n v="285.59999999999991"/>
    <d v="2014-12-01T00:00:00"/>
    <x v="2"/>
    <x v="2"/>
    <x v="0"/>
  </r>
  <r>
    <x v="0"/>
    <x v="2"/>
    <x v="1"/>
    <s v="High"/>
    <n v="293"/>
    <n v="5"/>
    <n v="7"/>
    <n v="2051"/>
    <n v="287.14"/>
    <n v="1763.8600000000001"/>
    <n v="1465"/>
    <n v="298.86000000000013"/>
    <d v="2014-02-01T00:00:00"/>
    <x v="8"/>
    <x v="8"/>
    <x v="0"/>
  </r>
  <r>
    <x v="0"/>
    <x v="4"/>
    <x v="1"/>
    <s v="High"/>
    <n v="2996"/>
    <n v="5"/>
    <n v="7"/>
    <n v="20972"/>
    <n v="2936.08"/>
    <n v="18035.919999999998"/>
    <n v="14980"/>
    <n v="3055.9199999999983"/>
    <d v="2013-10-01T00:00:00"/>
    <x v="7"/>
    <x v="7"/>
    <x v="1"/>
  </r>
  <r>
    <x v="1"/>
    <x v="1"/>
    <x v="2"/>
    <s v="High"/>
    <n v="278"/>
    <n v="10"/>
    <n v="15"/>
    <n v="4170"/>
    <n v="583.79999999999995"/>
    <n v="3586.2"/>
    <n v="2780"/>
    <n v="806.19999999999982"/>
    <d v="2014-02-01T00:00:00"/>
    <x v="8"/>
    <x v="8"/>
    <x v="0"/>
  </r>
  <r>
    <x v="0"/>
    <x v="0"/>
    <x v="2"/>
    <s v="High"/>
    <n v="2428"/>
    <n v="10"/>
    <n v="20"/>
    <n v="48560"/>
    <n v="6798.4"/>
    <n v="41761.599999999999"/>
    <n v="24280"/>
    <n v="17481.599999999999"/>
    <d v="2014-03-01T00:00:00"/>
    <x v="3"/>
    <x v="3"/>
    <x v="0"/>
  </r>
  <r>
    <x v="1"/>
    <x v="4"/>
    <x v="2"/>
    <s v="High"/>
    <n v="1767"/>
    <n v="10"/>
    <n v="15"/>
    <n v="26505"/>
    <n v="3710.7"/>
    <n v="22794.3"/>
    <n v="17670"/>
    <n v="5124.2999999999993"/>
    <d v="2014-09-01T00:00:00"/>
    <x v="6"/>
    <x v="6"/>
    <x v="0"/>
  </r>
  <r>
    <x v="2"/>
    <x v="2"/>
    <x v="2"/>
    <s v="High"/>
    <n v="1393"/>
    <n v="10"/>
    <n v="12"/>
    <n v="16716"/>
    <n v="2340.2399999999998"/>
    <n v="14375.76"/>
    <n v="4179"/>
    <n v="10196.76"/>
    <d v="2014-10-01T00:00:00"/>
    <x v="7"/>
    <x v="7"/>
    <x v="0"/>
  </r>
  <r>
    <x v="0"/>
    <x v="1"/>
    <x v="4"/>
    <s v="High"/>
    <n v="280"/>
    <n v="250"/>
    <n v="7"/>
    <n v="1960"/>
    <n v="274.39999999999998"/>
    <n v="1685.6"/>
    <n v="1400"/>
    <n v="285.59999999999991"/>
    <d v="2014-12-01T00:00:00"/>
    <x v="2"/>
    <x v="2"/>
    <x v="0"/>
  </r>
  <r>
    <x v="2"/>
    <x v="2"/>
    <x v="5"/>
    <s v="High"/>
    <n v="1393"/>
    <n v="260"/>
    <n v="12"/>
    <n v="16716"/>
    <n v="2340.2399999999998"/>
    <n v="14375.76"/>
    <n v="4179"/>
    <n v="10196.76"/>
    <d v="2014-10-01T00:00:00"/>
    <x v="7"/>
    <x v="7"/>
    <x v="0"/>
  </r>
  <r>
    <x v="2"/>
    <x v="4"/>
    <x v="5"/>
    <s v="High"/>
    <n v="2015"/>
    <n v="260"/>
    <n v="12"/>
    <n v="24180"/>
    <n v="3385.2"/>
    <n v="20794.8"/>
    <n v="6045"/>
    <n v="14749.8"/>
    <d v="2013-12-01T00:00:00"/>
    <x v="2"/>
    <x v="2"/>
    <x v="1"/>
  </r>
  <r>
    <x v="4"/>
    <x v="3"/>
    <x v="0"/>
    <s v="High"/>
    <n v="801"/>
    <n v="3"/>
    <n v="300"/>
    <n v="240300"/>
    <n v="33642"/>
    <n v="206658"/>
    <n v="200250"/>
    <n v="6408"/>
    <d v="2014-07-01T00:00:00"/>
    <x v="4"/>
    <x v="4"/>
    <x v="0"/>
  </r>
  <r>
    <x v="3"/>
    <x v="2"/>
    <x v="0"/>
    <s v="High"/>
    <n v="1023"/>
    <n v="3"/>
    <n v="125"/>
    <n v="127875"/>
    <n v="17902.5"/>
    <n v="109972.5"/>
    <n v="122760"/>
    <n v="-12787.5"/>
    <d v="2013-09-01T00:00:00"/>
    <x v="6"/>
    <x v="6"/>
    <x v="1"/>
  </r>
  <r>
    <x v="4"/>
    <x v="0"/>
    <x v="0"/>
    <s v="High"/>
    <n v="1496"/>
    <n v="3"/>
    <n v="300"/>
    <n v="448800"/>
    <n v="62832"/>
    <n v="385968"/>
    <n v="374000"/>
    <n v="11968"/>
    <d v="2014-10-01T00:00:00"/>
    <x v="7"/>
    <x v="7"/>
    <x v="0"/>
  </r>
  <r>
    <x v="4"/>
    <x v="4"/>
    <x v="0"/>
    <s v="High"/>
    <n v="1010"/>
    <n v="3"/>
    <n v="300"/>
    <n v="303000"/>
    <n v="42420"/>
    <n v="260580"/>
    <n v="252500"/>
    <n v="8080"/>
    <d v="2014-10-01T00:00:00"/>
    <x v="7"/>
    <x v="7"/>
    <x v="0"/>
  </r>
  <r>
    <x v="1"/>
    <x v="1"/>
    <x v="0"/>
    <s v="High"/>
    <n v="1513"/>
    <n v="3"/>
    <n v="15"/>
    <n v="22695"/>
    <n v="3177.3"/>
    <n v="19517.7"/>
    <n v="15130"/>
    <n v="4387.7000000000007"/>
    <d v="2014-11-01T00:00:00"/>
    <x v="9"/>
    <x v="9"/>
    <x v="0"/>
  </r>
  <r>
    <x v="1"/>
    <x v="0"/>
    <x v="0"/>
    <s v="High"/>
    <n v="2300"/>
    <n v="3"/>
    <n v="15"/>
    <n v="34500"/>
    <n v="4830"/>
    <n v="29670"/>
    <n v="23000"/>
    <n v="6670"/>
    <d v="2014-12-01T00:00:00"/>
    <x v="2"/>
    <x v="2"/>
    <x v="0"/>
  </r>
  <r>
    <x v="3"/>
    <x v="3"/>
    <x v="0"/>
    <s v="High"/>
    <n v="2821"/>
    <n v="3"/>
    <n v="125"/>
    <n v="352625"/>
    <n v="49367.5"/>
    <n v="303257.5"/>
    <n v="338520"/>
    <n v="-35262.5"/>
    <d v="2013-12-01T00:00:00"/>
    <x v="2"/>
    <x v="2"/>
    <x v="1"/>
  </r>
  <r>
    <x v="0"/>
    <x v="0"/>
    <x v="1"/>
    <s v="High"/>
    <n v="2227.5"/>
    <n v="5"/>
    <n v="350"/>
    <n v="779625"/>
    <n v="109147.5"/>
    <n v="670477.5"/>
    <n v="579150"/>
    <n v="91327.5"/>
    <d v="2014-01-01T00:00:00"/>
    <x v="0"/>
    <x v="0"/>
    <x v="0"/>
  </r>
  <r>
    <x v="0"/>
    <x v="1"/>
    <x v="1"/>
    <s v="High"/>
    <n v="1199"/>
    <n v="5"/>
    <n v="350"/>
    <n v="419650"/>
    <n v="58751"/>
    <n v="360899"/>
    <n v="311740"/>
    <n v="49159"/>
    <d v="2014-04-01T00:00:00"/>
    <x v="10"/>
    <x v="10"/>
    <x v="0"/>
  </r>
  <r>
    <x v="0"/>
    <x v="0"/>
    <x v="1"/>
    <s v="High"/>
    <n v="200"/>
    <n v="5"/>
    <n v="350"/>
    <n v="70000"/>
    <n v="9800"/>
    <n v="60200"/>
    <n v="52000"/>
    <n v="8200"/>
    <d v="2014-05-01T00:00:00"/>
    <x v="11"/>
    <x v="11"/>
    <x v="0"/>
  </r>
  <r>
    <x v="0"/>
    <x v="0"/>
    <x v="1"/>
    <s v="High"/>
    <n v="388"/>
    <n v="5"/>
    <n v="7"/>
    <n v="2716"/>
    <n v="380.24"/>
    <n v="2335.7600000000002"/>
    <n v="1940"/>
    <n v="395.76000000000022"/>
    <d v="2014-09-01T00:00:00"/>
    <x v="6"/>
    <x v="6"/>
    <x v="0"/>
  </r>
  <r>
    <x v="0"/>
    <x v="3"/>
    <x v="1"/>
    <s v="High"/>
    <n v="1727"/>
    <n v="5"/>
    <n v="7"/>
    <n v="12089"/>
    <n v="1692.46"/>
    <n v="10396.540000000001"/>
    <n v="8635"/>
    <n v="1761.5400000000009"/>
    <d v="2013-10-01T00:00:00"/>
    <x v="7"/>
    <x v="7"/>
    <x v="1"/>
  </r>
  <r>
    <x v="1"/>
    <x v="0"/>
    <x v="1"/>
    <s v="High"/>
    <n v="2300"/>
    <n v="5"/>
    <n v="15"/>
    <n v="34500"/>
    <n v="4830"/>
    <n v="29670"/>
    <n v="23000"/>
    <n v="6670"/>
    <d v="2014-12-01T00:00:00"/>
    <x v="2"/>
    <x v="2"/>
    <x v="0"/>
  </r>
  <r>
    <x v="0"/>
    <x v="3"/>
    <x v="2"/>
    <s v="High"/>
    <n v="260"/>
    <n v="10"/>
    <n v="20"/>
    <n v="5200"/>
    <n v="728"/>
    <n v="4472"/>
    <n v="2600"/>
    <n v="1872"/>
    <d v="2014-02-01T00:00:00"/>
    <x v="8"/>
    <x v="8"/>
    <x v="0"/>
  </r>
  <r>
    <x v="1"/>
    <x v="0"/>
    <x v="2"/>
    <s v="High"/>
    <n v="2470"/>
    <n v="10"/>
    <n v="15"/>
    <n v="37050"/>
    <n v="5187"/>
    <n v="31863"/>
    <n v="24700"/>
    <n v="7163"/>
    <d v="2013-09-01T00:00:00"/>
    <x v="6"/>
    <x v="6"/>
    <x v="1"/>
  </r>
  <r>
    <x v="1"/>
    <x v="0"/>
    <x v="2"/>
    <s v="High"/>
    <n v="1743"/>
    <n v="10"/>
    <n v="15"/>
    <n v="26145"/>
    <n v="3660.3"/>
    <n v="22484.7"/>
    <n v="17430"/>
    <n v="5054.7000000000007"/>
    <d v="2013-10-01T00:00:00"/>
    <x v="7"/>
    <x v="7"/>
    <x v="1"/>
  </r>
  <r>
    <x v="2"/>
    <x v="4"/>
    <x v="2"/>
    <s v="High"/>
    <n v="2914"/>
    <n v="10"/>
    <n v="12"/>
    <n v="34968"/>
    <n v="4895.5200000000004"/>
    <n v="30072.48"/>
    <n v="8742"/>
    <n v="21330.48"/>
    <d v="2014-10-01T00:00:00"/>
    <x v="7"/>
    <x v="7"/>
    <x v="0"/>
  </r>
  <r>
    <x v="0"/>
    <x v="2"/>
    <x v="2"/>
    <s v="High"/>
    <n v="1731"/>
    <n v="10"/>
    <n v="7"/>
    <n v="12117"/>
    <n v="1696.38"/>
    <n v="10420.619999999999"/>
    <n v="8655"/>
    <n v="1765.619999999999"/>
    <d v="2014-10-01T00:00:00"/>
    <x v="7"/>
    <x v="7"/>
    <x v="0"/>
  </r>
  <r>
    <x v="0"/>
    <x v="0"/>
    <x v="2"/>
    <s v="High"/>
    <n v="700"/>
    <n v="10"/>
    <n v="350"/>
    <n v="245000"/>
    <n v="34300"/>
    <n v="210700"/>
    <n v="182000"/>
    <n v="28700"/>
    <d v="2014-11-01T00:00:00"/>
    <x v="9"/>
    <x v="9"/>
    <x v="0"/>
  </r>
  <r>
    <x v="2"/>
    <x v="0"/>
    <x v="2"/>
    <s v="High"/>
    <n v="2222"/>
    <n v="10"/>
    <n v="12"/>
    <n v="26664"/>
    <n v="3732.96"/>
    <n v="22931.040000000001"/>
    <n v="6666"/>
    <n v="16265.04"/>
    <d v="2013-11-01T00:00:00"/>
    <x v="9"/>
    <x v="9"/>
    <x v="1"/>
  </r>
  <r>
    <x v="0"/>
    <x v="4"/>
    <x v="2"/>
    <s v="High"/>
    <n v="1177"/>
    <n v="10"/>
    <n v="350"/>
    <n v="411950"/>
    <n v="57673"/>
    <n v="354277"/>
    <n v="306020"/>
    <n v="48257"/>
    <d v="2014-11-01T00:00:00"/>
    <x v="9"/>
    <x v="9"/>
    <x v="0"/>
  </r>
  <r>
    <x v="0"/>
    <x v="2"/>
    <x v="2"/>
    <s v="High"/>
    <n v="1922"/>
    <n v="10"/>
    <n v="350"/>
    <n v="672700"/>
    <n v="94178"/>
    <n v="578522"/>
    <n v="499720"/>
    <n v="78802"/>
    <d v="2013-11-01T00:00:00"/>
    <x v="9"/>
    <x v="9"/>
    <x v="1"/>
  </r>
  <r>
    <x v="3"/>
    <x v="3"/>
    <x v="3"/>
    <s v="High"/>
    <n v="1575"/>
    <n v="120"/>
    <n v="125"/>
    <n v="196875"/>
    <n v="27562.5"/>
    <n v="169312.5"/>
    <n v="189000"/>
    <n v="-19687.5"/>
    <d v="2014-02-01T00:00:00"/>
    <x v="8"/>
    <x v="8"/>
    <x v="0"/>
  </r>
  <r>
    <x v="0"/>
    <x v="4"/>
    <x v="3"/>
    <s v="High"/>
    <n v="606"/>
    <n v="120"/>
    <n v="20"/>
    <n v="12120"/>
    <n v="1696.8000000000002"/>
    <n v="10423.200000000001"/>
    <n v="6060"/>
    <n v="4363.2000000000007"/>
    <d v="2014-04-01T00:00:00"/>
    <x v="10"/>
    <x v="10"/>
    <x v="0"/>
  </r>
  <r>
    <x v="4"/>
    <x v="4"/>
    <x v="3"/>
    <s v="High"/>
    <n v="2460"/>
    <n v="120"/>
    <n v="300"/>
    <n v="738000"/>
    <n v="103320"/>
    <n v="634680"/>
    <n v="615000"/>
    <n v="19680"/>
    <d v="2014-07-01T00:00:00"/>
    <x v="4"/>
    <x v="4"/>
    <x v="0"/>
  </r>
  <r>
    <x v="4"/>
    <x v="0"/>
    <x v="3"/>
    <s v="High"/>
    <n v="269"/>
    <n v="120"/>
    <n v="300"/>
    <n v="80700"/>
    <n v="11298"/>
    <n v="69402"/>
    <n v="67250"/>
    <n v="2152"/>
    <d v="2013-10-01T00:00:00"/>
    <x v="7"/>
    <x v="7"/>
    <x v="1"/>
  </r>
  <r>
    <x v="4"/>
    <x v="1"/>
    <x v="3"/>
    <s v="High"/>
    <n v="2536"/>
    <n v="120"/>
    <n v="300"/>
    <n v="760800"/>
    <n v="106512"/>
    <n v="654288"/>
    <n v="634000"/>
    <n v="20288"/>
    <d v="2013-11-01T00:00:00"/>
    <x v="9"/>
    <x v="9"/>
    <x v="1"/>
  </r>
  <r>
    <x v="0"/>
    <x v="3"/>
    <x v="4"/>
    <s v="High"/>
    <n v="2903"/>
    <n v="250"/>
    <n v="7"/>
    <n v="20321"/>
    <n v="2844.94"/>
    <n v="17476.060000000001"/>
    <n v="14515"/>
    <n v="2961.0600000000013"/>
    <d v="2014-03-01T00:00:00"/>
    <x v="3"/>
    <x v="3"/>
    <x v="0"/>
  </r>
  <r>
    <x v="4"/>
    <x v="4"/>
    <x v="4"/>
    <s v="High"/>
    <n v="2541"/>
    <n v="250"/>
    <n v="300"/>
    <n v="762300"/>
    <n v="106722"/>
    <n v="655578"/>
    <n v="635250"/>
    <n v="20328"/>
    <d v="2014-08-01T00:00:00"/>
    <x v="5"/>
    <x v="5"/>
    <x v="0"/>
  </r>
  <r>
    <x v="4"/>
    <x v="0"/>
    <x v="4"/>
    <s v="High"/>
    <n v="269"/>
    <n v="250"/>
    <n v="300"/>
    <n v="80700"/>
    <n v="11298"/>
    <n v="69402"/>
    <n v="67250"/>
    <n v="2152"/>
    <d v="2013-10-01T00:00:00"/>
    <x v="7"/>
    <x v="7"/>
    <x v="1"/>
  </r>
  <r>
    <x v="4"/>
    <x v="0"/>
    <x v="4"/>
    <s v="High"/>
    <n v="1496"/>
    <n v="250"/>
    <n v="300"/>
    <n v="448800"/>
    <n v="62832"/>
    <n v="385968"/>
    <n v="374000"/>
    <n v="11968"/>
    <d v="2014-10-01T00:00:00"/>
    <x v="7"/>
    <x v="7"/>
    <x v="0"/>
  </r>
  <r>
    <x v="4"/>
    <x v="4"/>
    <x v="4"/>
    <s v="High"/>
    <n v="1010"/>
    <n v="250"/>
    <n v="300"/>
    <n v="303000"/>
    <n v="42420"/>
    <n v="260580"/>
    <n v="252500"/>
    <n v="8080"/>
    <d v="2014-10-01T00:00:00"/>
    <x v="7"/>
    <x v="7"/>
    <x v="0"/>
  </r>
  <r>
    <x v="0"/>
    <x v="2"/>
    <x v="4"/>
    <s v="High"/>
    <n v="1281"/>
    <n v="250"/>
    <n v="350"/>
    <n v="448350"/>
    <n v="62769"/>
    <n v="385581"/>
    <n v="333060"/>
    <n v="52521"/>
    <d v="2013-12-01T00:00:00"/>
    <x v="2"/>
    <x v="2"/>
    <x v="1"/>
  </r>
  <r>
    <x v="4"/>
    <x v="0"/>
    <x v="5"/>
    <s v="High"/>
    <n v="888"/>
    <n v="260"/>
    <n v="300"/>
    <n v="266400"/>
    <n v="37296"/>
    <n v="229104"/>
    <n v="222000"/>
    <n v="7104"/>
    <d v="2014-03-01T00:00:00"/>
    <x v="3"/>
    <x v="3"/>
    <x v="0"/>
  </r>
  <r>
    <x v="3"/>
    <x v="4"/>
    <x v="5"/>
    <s v="High"/>
    <n v="2844"/>
    <n v="260"/>
    <n v="125"/>
    <n v="355500"/>
    <n v="49770"/>
    <n v="305730"/>
    <n v="341280"/>
    <n v="-35550"/>
    <d v="2014-05-01T00:00:00"/>
    <x v="11"/>
    <x v="11"/>
    <x v="0"/>
  </r>
  <r>
    <x v="2"/>
    <x v="2"/>
    <x v="5"/>
    <s v="High"/>
    <n v="2475"/>
    <n v="260"/>
    <n v="12"/>
    <n v="29700"/>
    <n v="4158"/>
    <n v="25542"/>
    <n v="7425"/>
    <n v="18117"/>
    <d v="2014-08-01T00:00:00"/>
    <x v="5"/>
    <x v="5"/>
    <x v="0"/>
  </r>
  <r>
    <x v="1"/>
    <x v="0"/>
    <x v="5"/>
    <s v="High"/>
    <n v="1743"/>
    <n v="260"/>
    <n v="15"/>
    <n v="26145"/>
    <n v="3660.3"/>
    <n v="22484.7"/>
    <n v="17430"/>
    <n v="5054.7000000000007"/>
    <d v="2013-10-01T00:00:00"/>
    <x v="7"/>
    <x v="7"/>
    <x v="1"/>
  </r>
  <r>
    <x v="2"/>
    <x v="4"/>
    <x v="5"/>
    <s v="High"/>
    <n v="2914"/>
    <n v="260"/>
    <n v="12"/>
    <n v="34968"/>
    <n v="4895.5200000000004"/>
    <n v="30072.48"/>
    <n v="8742"/>
    <n v="21330.48"/>
    <d v="2014-10-01T00:00:00"/>
    <x v="7"/>
    <x v="7"/>
    <x v="0"/>
  </r>
  <r>
    <x v="0"/>
    <x v="2"/>
    <x v="5"/>
    <s v="High"/>
    <n v="1731"/>
    <n v="260"/>
    <n v="7"/>
    <n v="12117"/>
    <n v="1696.38"/>
    <n v="10420.619999999999"/>
    <n v="8655"/>
    <n v="1765.619999999999"/>
    <d v="2014-10-01T00:00:00"/>
    <x v="7"/>
    <x v="7"/>
    <x v="0"/>
  </r>
  <r>
    <x v="0"/>
    <x v="3"/>
    <x v="5"/>
    <s v="High"/>
    <n v="1727"/>
    <n v="260"/>
    <n v="7"/>
    <n v="12089"/>
    <n v="1692.46"/>
    <n v="10396.540000000001"/>
    <n v="8635"/>
    <n v="1761.5400000000009"/>
    <d v="2013-10-01T00:00:00"/>
    <x v="7"/>
    <x v="7"/>
    <x v="1"/>
  </r>
  <r>
    <x v="1"/>
    <x v="3"/>
    <x v="5"/>
    <s v="High"/>
    <n v="1870"/>
    <n v="260"/>
    <n v="15"/>
    <n v="28050"/>
    <n v="3927"/>
    <n v="24123"/>
    <n v="18700"/>
    <n v="5423"/>
    <d v="2013-11-01T00:00:00"/>
    <x v="9"/>
    <x v="9"/>
    <x v="1"/>
  </r>
  <r>
    <x v="3"/>
    <x v="2"/>
    <x v="0"/>
    <s v="High"/>
    <n v="1174"/>
    <n v="3"/>
    <n v="125"/>
    <n v="146750"/>
    <n v="22012.5"/>
    <n v="124737.5"/>
    <n v="140880"/>
    <n v="-16142.5"/>
    <d v="2014-08-01T00:00:00"/>
    <x v="5"/>
    <x v="5"/>
    <x v="0"/>
  </r>
  <r>
    <x v="3"/>
    <x v="1"/>
    <x v="0"/>
    <s v="High"/>
    <n v="2767"/>
    <n v="3"/>
    <n v="125"/>
    <n v="345875"/>
    <n v="51881.25"/>
    <n v="293993.75"/>
    <n v="332040"/>
    <n v="-38046.25"/>
    <d v="2014-08-01T00:00:00"/>
    <x v="5"/>
    <x v="5"/>
    <x v="0"/>
  </r>
  <r>
    <x v="3"/>
    <x v="1"/>
    <x v="0"/>
    <s v="High"/>
    <n v="1085"/>
    <n v="3"/>
    <n v="125"/>
    <n v="135625"/>
    <n v="20343.75"/>
    <n v="115281.25"/>
    <n v="130200"/>
    <n v="-14918.75"/>
    <d v="2014-10-01T00:00:00"/>
    <x v="7"/>
    <x v="7"/>
    <x v="0"/>
  </r>
  <r>
    <x v="4"/>
    <x v="3"/>
    <x v="1"/>
    <s v="High"/>
    <n v="546"/>
    <n v="5"/>
    <n v="300"/>
    <n v="163800"/>
    <n v="24570"/>
    <n v="139230"/>
    <n v="136500"/>
    <n v="2730"/>
    <d v="2014-10-01T00:00:00"/>
    <x v="7"/>
    <x v="7"/>
    <x v="0"/>
  </r>
  <r>
    <x v="0"/>
    <x v="1"/>
    <x v="2"/>
    <s v="High"/>
    <n v="1158"/>
    <n v="10"/>
    <n v="20"/>
    <n v="23160"/>
    <n v="3474"/>
    <n v="19686"/>
    <n v="11580"/>
    <n v="8106"/>
    <d v="2014-03-01T00:00:00"/>
    <x v="3"/>
    <x v="3"/>
    <x v="0"/>
  </r>
  <r>
    <x v="1"/>
    <x v="0"/>
    <x v="2"/>
    <s v="High"/>
    <n v="1614"/>
    <n v="10"/>
    <n v="15"/>
    <n v="24210"/>
    <n v="3631.5"/>
    <n v="20578.5"/>
    <n v="16140"/>
    <n v="4438.5"/>
    <d v="2014-04-01T00:00:00"/>
    <x v="10"/>
    <x v="10"/>
    <x v="0"/>
  </r>
  <r>
    <x v="0"/>
    <x v="3"/>
    <x v="2"/>
    <s v="High"/>
    <n v="2535"/>
    <n v="10"/>
    <n v="7"/>
    <n v="17745"/>
    <n v="2661.75"/>
    <n v="15083.25"/>
    <n v="12675"/>
    <n v="2408.25"/>
    <d v="2014-04-01T00:00:00"/>
    <x v="10"/>
    <x v="10"/>
    <x v="0"/>
  </r>
  <r>
    <x v="0"/>
    <x v="3"/>
    <x v="2"/>
    <s v="High"/>
    <n v="2851"/>
    <n v="10"/>
    <n v="350"/>
    <n v="997850"/>
    <n v="149677.5"/>
    <n v="848172.5"/>
    <n v="741260"/>
    <n v="106912.5"/>
    <d v="2014-05-01T00:00:00"/>
    <x v="11"/>
    <x v="11"/>
    <x v="0"/>
  </r>
  <r>
    <x v="1"/>
    <x v="0"/>
    <x v="2"/>
    <s v="High"/>
    <n v="2559"/>
    <n v="10"/>
    <n v="15"/>
    <n v="38385"/>
    <n v="5757.75"/>
    <n v="32627.25"/>
    <n v="25590"/>
    <n v="7037.25"/>
    <d v="2014-08-01T00:00:00"/>
    <x v="5"/>
    <x v="5"/>
    <x v="0"/>
  </r>
  <r>
    <x v="0"/>
    <x v="4"/>
    <x v="2"/>
    <s v="High"/>
    <n v="267"/>
    <n v="10"/>
    <n v="20"/>
    <n v="5340"/>
    <n v="801"/>
    <n v="4539"/>
    <n v="2670"/>
    <n v="1869"/>
    <d v="2013-10-01T00:00:00"/>
    <x v="7"/>
    <x v="7"/>
    <x v="1"/>
  </r>
  <r>
    <x v="3"/>
    <x v="1"/>
    <x v="2"/>
    <s v="High"/>
    <n v="1085"/>
    <n v="10"/>
    <n v="125"/>
    <n v="135625"/>
    <n v="20343.75"/>
    <n v="115281.25"/>
    <n v="130200"/>
    <n v="-14918.75"/>
    <d v="2014-10-01T00:00:00"/>
    <x v="7"/>
    <x v="7"/>
    <x v="0"/>
  </r>
  <r>
    <x v="1"/>
    <x v="1"/>
    <x v="2"/>
    <s v="High"/>
    <n v="1175"/>
    <n v="10"/>
    <n v="15"/>
    <n v="17625"/>
    <n v="2643.75"/>
    <n v="14981.25"/>
    <n v="11750"/>
    <n v="3231.25"/>
    <d v="2014-10-01T00:00:00"/>
    <x v="7"/>
    <x v="7"/>
    <x v="0"/>
  </r>
  <r>
    <x v="0"/>
    <x v="4"/>
    <x v="2"/>
    <s v="High"/>
    <n v="2007"/>
    <n v="10"/>
    <n v="350"/>
    <n v="702450"/>
    <n v="105367.5"/>
    <n v="597082.5"/>
    <n v="521820"/>
    <n v="75262.5"/>
    <d v="2013-11-01T00:00:00"/>
    <x v="9"/>
    <x v="9"/>
    <x v="1"/>
  </r>
  <r>
    <x v="0"/>
    <x v="3"/>
    <x v="2"/>
    <s v="High"/>
    <n v="2151"/>
    <n v="10"/>
    <n v="350"/>
    <n v="752850"/>
    <n v="112927.5"/>
    <n v="639922.5"/>
    <n v="559260"/>
    <n v="80662.5"/>
    <d v="2013-11-01T00:00:00"/>
    <x v="9"/>
    <x v="9"/>
    <x v="1"/>
  </r>
  <r>
    <x v="2"/>
    <x v="4"/>
    <x v="2"/>
    <s v="High"/>
    <n v="914"/>
    <n v="10"/>
    <n v="12"/>
    <n v="10968"/>
    <n v="1645.2"/>
    <n v="9322.7999999999993"/>
    <n v="2742"/>
    <n v="6580.7999999999993"/>
    <d v="2014-12-01T00:00:00"/>
    <x v="2"/>
    <x v="2"/>
    <x v="0"/>
  </r>
  <r>
    <x v="0"/>
    <x v="2"/>
    <x v="2"/>
    <s v="High"/>
    <n v="293"/>
    <n v="10"/>
    <n v="20"/>
    <n v="5860"/>
    <n v="879"/>
    <n v="4981"/>
    <n v="2930"/>
    <n v="2051"/>
    <d v="2014-12-01T00:00:00"/>
    <x v="2"/>
    <x v="2"/>
    <x v="0"/>
  </r>
  <r>
    <x v="2"/>
    <x v="3"/>
    <x v="3"/>
    <s v="High"/>
    <n v="500"/>
    <n v="120"/>
    <n v="12"/>
    <n v="6000"/>
    <n v="900"/>
    <n v="5100"/>
    <n v="1500"/>
    <n v="3600"/>
    <d v="2014-03-01T00:00:00"/>
    <x v="3"/>
    <x v="3"/>
    <x v="0"/>
  </r>
  <r>
    <x v="1"/>
    <x v="2"/>
    <x v="3"/>
    <s v="High"/>
    <n v="2826"/>
    <n v="120"/>
    <n v="15"/>
    <n v="42390"/>
    <n v="6358.5"/>
    <n v="36031.5"/>
    <n v="28260"/>
    <n v="7771.5"/>
    <d v="2014-05-01T00:00:00"/>
    <x v="11"/>
    <x v="11"/>
    <x v="0"/>
  </r>
  <r>
    <x v="3"/>
    <x v="2"/>
    <x v="3"/>
    <s v="High"/>
    <n v="663"/>
    <n v="120"/>
    <n v="125"/>
    <n v="82875"/>
    <n v="12431.25"/>
    <n v="70443.75"/>
    <n v="79560"/>
    <n v="-9116.25"/>
    <d v="2014-09-01T00:00:00"/>
    <x v="6"/>
    <x v="6"/>
    <x v="0"/>
  </r>
  <r>
    <x v="4"/>
    <x v="4"/>
    <x v="3"/>
    <s v="High"/>
    <n v="2574"/>
    <n v="120"/>
    <n v="300"/>
    <n v="772200"/>
    <n v="115830"/>
    <n v="656370"/>
    <n v="643500"/>
    <n v="12870"/>
    <d v="2013-11-01T00:00:00"/>
    <x v="9"/>
    <x v="9"/>
    <x v="1"/>
  </r>
  <r>
    <x v="3"/>
    <x v="4"/>
    <x v="3"/>
    <s v="High"/>
    <n v="2438"/>
    <n v="120"/>
    <n v="125"/>
    <n v="304750"/>
    <n v="45712.5"/>
    <n v="259037.5"/>
    <n v="292560"/>
    <n v="-33522.5"/>
    <d v="2013-12-01T00:00:00"/>
    <x v="2"/>
    <x v="2"/>
    <x v="1"/>
  </r>
  <r>
    <x v="2"/>
    <x v="4"/>
    <x v="3"/>
    <s v="High"/>
    <n v="914"/>
    <n v="120"/>
    <n v="12"/>
    <n v="10968"/>
    <n v="1645.2"/>
    <n v="9322.7999999999993"/>
    <n v="2742"/>
    <n v="6580.7999999999993"/>
    <d v="2014-12-01T00:00:00"/>
    <x v="2"/>
    <x v="2"/>
    <x v="0"/>
  </r>
  <r>
    <x v="0"/>
    <x v="0"/>
    <x v="4"/>
    <s v="High"/>
    <n v="865.5"/>
    <n v="250"/>
    <n v="20"/>
    <n v="17310"/>
    <n v="2596.5"/>
    <n v="14713.5"/>
    <n v="8655"/>
    <n v="6058.5"/>
    <d v="2014-07-01T00:00:00"/>
    <x v="4"/>
    <x v="4"/>
    <x v="0"/>
  </r>
  <r>
    <x v="1"/>
    <x v="1"/>
    <x v="4"/>
    <s v="High"/>
    <n v="492"/>
    <n v="250"/>
    <n v="15"/>
    <n v="7380"/>
    <n v="1107"/>
    <n v="6273"/>
    <n v="4920"/>
    <n v="1353"/>
    <d v="2014-07-01T00:00:00"/>
    <x v="4"/>
    <x v="4"/>
    <x v="0"/>
  </r>
  <r>
    <x v="0"/>
    <x v="4"/>
    <x v="4"/>
    <s v="High"/>
    <n v="267"/>
    <n v="250"/>
    <n v="20"/>
    <n v="5340"/>
    <n v="801"/>
    <n v="4539"/>
    <n v="2670"/>
    <n v="1869"/>
    <d v="2013-10-01T00:00:00"/>
    <x v="7"/>
    <x v="7"/>
    <x v="1"/>
  </r>
  <r>
    <x v="1"/>
    <x v="1"/>
    <x v="4"/>
    <s v="High"/>
    <n v="1175"/>
    <n v="250"/>
    <n v="15"/>
    <n v="17625"/>
    <n v="2643.75"/>
    <n v="14981.25"/>
    <n v="11750"/>
    <n v="3231.25"/>
    <d v="2014-10-01T00:00:00"/>
    <x v="7"/>
    <x v="7"/>
    <x v="0"/>
  </r>
  <r>
    <x v="3"/>
    <x v="0"/>
    <x v="4"/>
    <s v="High"/>
    <n v="2954"/>
    <n v="250"/>
    <n v="125"/>
    <n v="369250"/>
    <n v="55387.5"/>
    <n v="313862.5"/>
    <n v="354480"/>
    <n v="-40617.5"/>
    <d v="2013-11-01T00:00:00"/>
    <x v="9"/>
    <x v="9"/>
    <x v="1"/>
  </r>
  <r>
    <x v="3"/>
    <x v="1"/>
    <x v="4"/>
    <s v="High"/>
    <n v="552"/>
    <n v="250"/>
    <n v="125"/>
    <n v="69000"/>
    <n v="10350"/>
    <n v="58650"/>
    <n v="66240"/>
    <n v="-7590"/>
    <d v="2014-11-01T00:00:00"/>
    <x v="9"/>
    <x v="9"/>
    <x v="0"/>
  </r>
  <r>
    <x v="0"/>
    <x v="2"/>
    <x v="4"/>
    <s v="High"/>
    <n v="293"/>
    <n v="250"/>
    <n v="20"/>
    <n v="5860"/>
    <n v="879"/>
    <n v="4981"/>
    <n v="2930"/>
    <n v="2051"/>
    <d v="2014-12-01T00:00:00"/>
    <x v="2"/>
    <x v="2"/>
    <x v="0"/>
  </r>
  <r>
    <x v="4"/>
    <x v="2"/>
    <x v="5"/>
    <s v="High"/>
    <n v="2475"/>
    <n v="260"/>
    <n v="300"/>
    <n v="742500"/>
    <n v="111375"/>
    <n v="631125"/>
    <n v="618750"/>
    <n v="12375"/>
    <d v="2014-03-01T00:00:00"/>
    <x v="3"/>
    <x v="3"/>
    <x v="0"/>
  </r>
  <r>
    <x v="4"/>
    <x v="3"/>
    <x v="5"/>
    <s v="High"/>
    <n v="546"/>
    <n v="260"/>
    <n v="300"/>
    <n v="163800"/>
    <n v="24570"/>
    <n v="139230"/>
    <n v="136500"/>
    <n v="2730"/>
    <d v="2014-10-01T00:00:00"/>
    <x v="7"/>
    <x v="7"/>
    <x v="0"/>
  </r>
  <r>
    <x v="0"/>
    <x v="3"/>
    <x v="1"/>
    <s v="High"/>
    <n v="1368"/>
    <n v="5"/>
    <n v="7"/>
    <n v="9576"/>
    <n v="1436.4"/>
    <n v="8139.6"/>
    <n v="6840"/>
    <n v="1299.6000000000004"/>
    <d v="2014-02-01T00:00:00"/>
    <x v="8"/>
    <x v="8"/>
    <x v="0"/>
  </r>
  <r>
    <x v="0"/>
    <x v="0"/>
    <x v="2"/>
    <s v="High"/>
    <n v="723"/>
    <n v="10"/>
    <n v="7"/>
    <n v="5061"/>
    <n v="759.15000000000009"/>
    <n v="4301.8500000000004"/>
    <n v="3615"/>
    <n v="686.85000000000014"/>
    <d v="2014-04-01T00:00:00"/>
    <x v="10"/>
    <x v="10"/>
    <x v="0"/>
  </r>
  <r>
    <x v="2"/>
    <x v="4"/>
    <x v="4"/>
    <s v="High"/>
    <n v="1806"/>
    <n v="250"/>
    <n v="12"/>
    <n v="21672"/>
    <n v="3250.8"/>
    <n v="18421.2"/>
    <n v="5418"/>
    <n v="13003.2"/>
    <d v="2014-05-01T00:00:00"/>
    <x v="11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5:C21" firstHeaderRow="0" firstDataRow="1" firstDataCol="1"/>
  <pivotFields count="16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dataField="1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4" showAll="0"/>
    <pivotField numFmtI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4" baseField="0" baseItem="0"/>
    <dataField name="Sum of Gross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12:C131" firstHeaderRow="0" firstDataRow="1" firstDataCol="1"/>
  <pivotFields count="16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numFmtId="14" showAll="0"/>
    <pivotField numFmtId="1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2">
    <field x="15"/>
    <field x="14"/>
  </rowFields>
  <rowItems count="19">
    <i>
      <x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1" baseField="0" baseItem="0"/>
    <dataField name="Sum of  Sales" fld="9" baseField="0" baseItem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9" firstHeaderRow="0" firstDataRow="1" firstDataCol="1"/>
  <pivotFields count="16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numFmtId="14" showAll="0"/>
    <pivotField numFmtI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1" baseField="0" baseItem="0"/>
    <dataField name="Sum of 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7:C44" firstHeaderRow="0" firstDataRow="1" firstDataCol="1"/>
  <pivotFields count="16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 Price" fld="6" baseField="0" baseItem="0"/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inancials" displayName="financials" ref="A1:P701" totalsRowShown="0" headerRowDxfId="16" dataDxfId="15" headerRowCellStyle="Currency" dataCellStyle="Currency">
  <tableColumns count="16">
    <tableColumn id="1" name="Segment"/>
    <tableColumn id="2" name="Country"/>
    <tableColumn id="16" name="Product" dataDxfId="14" dataCellStyle="Currency"/>
    <tableColumn id="19" name="Discount Band" dataDxfId="13" dataCellStyle="Currency"/>
    <tableColumn id="6" name="Units Sold"/>
    <tableColumn id="7" name="Manufacturing Price" dataDxfId="12" dataCellStyle="Currency"/>
    <tableColumn id="8" name="Sale Price" dataDxfId="11" dataCellStyle="Currency"/>
    <tableColumn id="9" name="Gross Sales" dataDxfId="10" dataCellStyle="Currency"/>
    <tableColumn id="10" name="Discounts" dataDxfId="9" dataCellStyle="Currency"/>
    <tableColumn id="11" name="Sales" dataDxfId="8" dataCellStyle="Currency"/>
    <tableColumn id="12" name="COGS" dataDxfId="7" dataCellStyle="Currency"/>
    <tableColumn id="13" name="Profit" dataDxfId="6" dataCellStyle="Currency"/>
    <tableColumn id="4" name="Date" dataDxfId="5" dataCellStyle="Currency"/>
    <tableColumn id="17" name="Month Number" dataDxfId="4" dataCellStyle="Currency"/>
    <tableColumn id="18" name="Month Name" dataDxfId="3" dataCellStyle="Currency"/>
    <tableColumn id="20" name="Year" dataDxfId="2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opLeftCell="A33" zoomScale="85" zoomScaleNormal="85" workbookViewId="0">
      <selection activeCell="I17" sqref="I17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3.77734375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35</v>
      </c>
      <c r="C1" s="5" t="s">
        <v>36</v>
      </c>
      <c r="D1" s="5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t="s">
        <v>57</v>
      </c>
      <c r="K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conditionalFormatting sqref="O20">
    <cfRule type="cellIs" dxfId="18" priority="2" operator="equal">
      <formula>" "</formula>
    </cfRule>
  </conditionalFormatting>
  <conditionalFormatting sqref="E2:E701">
    <cfRule type="cellIs" dxfId="17" priority="1" operator="greaterThan">
      <formula>4215.3125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5"/>
  <sheetViews>
    <sheetView tabSelected="1" zoomScale="85" zoomScaleNormal="85" workbookViewId="0">
      <selection activeCell="C55" sqref="C55:F55"/>
    </sheetView>
  </sheetViews>
  <sheetFormatPr defaultRowHeight="14.4" x14ac:dyDescent="0.3"/>
  <cols>
    <col min="2" max="2" width="14.109375" customWidth="1"/>
    <col min="3" max="3" width="14" customWidth="1"/>
    <col min="5" max="5" width="26.6640625" customWidth="1"/>
    <col min="6" max="6" width="19.109375" customWidth="1"/>
    <col min="7" max="7" width="10.5546875" bestFit="1" customWidth="1"/>
    <col min="8" max="8" width="25.21875" customWidth="1"/>
    <col min="9" max="9" width="17" customWidth="1"/>
    <col min="10" max="10" width="17.6640625" customWidth="1"/>
    <col min="12" max="12" width="16.109375" customWidth="1"/>
    <col min="13" max="13" width="17.109375" customWidth="1"/>
    <col min="14" max="14" width="21" customWidth="1"/>
    <col min="15" max="15" width="15.44140625" customWidth="1"/>
    <col min="16" max="16" width="13.5546875" customWidth="1"/>
    <col min="17" max="17" width="23.88671875" customWidth="1"/>
  </cols>
  <sheetData>
    <row r="1" spans="5:15" ht="18" x14ac:dyDescent="0.35">
      <c r="F1" s="34" t="s">
        <v>114</v>
      </c>
      <c r="G1" s="33"/>
      <c r="H1" s="33"/>
    </row>
    <row r="2" spans="5:15" x14ac:dyDescent="0.3">
      <c r="F2" s="32" t="s">
        <v>115</v>
      </c>
      <c r="G2" s="33"/>
      <c r="M2" s="32" t="s">
        <v>116</v>
      </c>
      <c r="N2" s="33"/>
      <c r="O2" s="33"/>
    </row>
    <row r="3" spans="5:15" x14ac:dyDescent="0.3">
      <c r="E3" s="11" t="s">
        <v>49</v>
      </c>
      <c r="F3" s="11" t="s">
        <v>50</v>
      </c>
      <c r="G3" s="11" t="s">
        <v>51</v>
      </c>
      <c r="H3" s="11" t="s">
        <v>52</v>
      </c>
      <c r="I3" s="11" t="s">
        <v>53</v>
      </c>
      <c r="J3" s="11" t="s">
        <v>54</v>
      </c>
    </row>
    <row r="4" spans="5:15" x14ac:dyDescent="0.3">
      <c r="E4" s="12" t="s">
        <v>4</v>
      </c>
      <c r="F4">
        <f>AVERAGE(Dataset!E:E)</f>
        <v>1608.2942857142857</v>
      </c>
      <c r="G4">
        <f>MEDIAN(Dataset!E:E)</f>
        <v>1542.5</v>
      </c>
      <c r="H4">
        <f>MIN(Dataset!E:E)</f>
        <v>200</v>
      </c>
      <c r="I4" s="13">
        <f>MAX(Dataset!E:E)</f>
        <v>4492.5</v>
      </c>
      <c r="J4">
        <f>_xlfn.STDEV.P(Dataset!E:E)</f>
        <v>866.80804628833721</v>
      </c>
      <c r="M4" t="s">
        <v>67</v>
      </c>
      <c r="N4">
        <f>CORREL(Dataset!J:J,Dataset!L:L)</f>
        <v>0.80546219415646503</v>
      </c>
    </row>
    <row r="5" spans="5:15" x14ac:dyDescent="0.3">
      <c r="E5" s="12" t="s">
        <v>5</v>
      </c>
      <c r="F5" s="10">
        <f>AVERAGE(Dataset!F:F)</f>
        <v>96.477142857142852</v>
      </c>
      <c r="G5" s="10">
        <f>MEDIAN(Dataset!F:F)</f>
        <v>10</v>
      </c>
      <c r="H5" s="10">
        <f>MIN(Dataset!F:F)</f>
        <v>3</v>
      </c>
      <c r="I5" s="10">
        <f>MAX(Dataset!F:F)</f>
        <v>260</v>
      </c>
      <c r="J5" s="10">
        <f>_xlfn.STDEV.P(Dataset!F:F)</f>
        <v>108.52501116783905</v>
      </c>
      <c r="M5" t="s">
        <v>68</v>
      </c>
      <c r="N5">
        <f>CORREL(Dataset!E:E,Dataset!L:L)</f>
        <v>0.22843690683024537</v>
      </c>
    </row>
    <row r="6" spans="5:15" x14ac:dyDescent="0.3">
      <c r="E6" s="12" t="s">
        <v>55</v>
      </c>
      <c r="F6" s="10">
        <f>AVERAGE(Dataset!G:G)</f>
        <v>118.42857142857143</v>
      </c>
      <c r="G6" s="10">
        <f>MEDIAN(Dataset!G:G)</f>
        <v>20</v>
      </c>
      <c r="H6" s="10">
        <f>MIN(Dataset!G:G)</f>
        <v>7</v>
      </c>
      <c r="I6" s="10">
        <f>MAX(Dataset!G:G)</f>
        <v>350</v>
      </c>
      <c r="J6" s="10">
        <f>_xlfn.STDEV.P(Dataset!G:G)</f>
        <v>136.67778285636118</v>
      </c>
      <c r="M6" t="s">
        <v>69</v>
      </c>
      <c r="N6">
        <f>CORREL(Dataset!E:E,Dataset!J:J)</f>
        <v>0.32691397252745286</v>
      </c>
    </row>
    <row r="7" spans="5:15" x14ac:dyDescent="0.3">
      <c r="E7" s="12" t="s">
        <v>1</v>
      </c>
      <c r="F7" s="10">
        <f>AVERAGE(Dataset!H:H)</f>
        <v>182759.42642857143</v>
      </c>
      <c r="G7" s="10">
        <f>MEDIAN(Dataset!H:H)</f>
        <v>37980</v>
      </c>
      <c r="H7" s="10">
        <f>MIN(Dataset!H:H)</f>
        <v>1799</v>
      </c>
      <c r="I7" s="10">
        <f>MAX(Dataset!H:H)</f>
        <v>1207500</v>
      </c>
      <c r="J7" s="10">
        <f>_xlfn.STDEV.P(Dataset!H:H)</f>
        <v>254080.60355172999</v>
      </c>
      <c r="M7" t="s">
        <v>70</v>
      </c>
      <c r="N7">
        <f>CORREL(Dataset!I:I,Dataset!L:L)</f>
        <v>0.38308688456303791</v>
      </c>
    </row>
    <row r="8" spans="5:15" x14ac:dyDescent="0.3">
      <c r="E8" s="12" t="s">
        <v>56</v>
      </c>
      <c r="F8" s="10">
        <f>AVERAGE(Dataset!I:I)</f>
        <v>13150.354628571431</v>
      </c>
      <c r="G8" s="10">
        <f>MEDIAN(Dataset!I:I)</f>
        <v>2585.25</v>
      </c>
      <c r="H8" s="10">
        <f>MIN(Dataset!I:I)</f>
        <v>0</v>
      </c>
      <c r="I8" s="10">
        <f>MAX(Dataset!I:I)</f>
        <v>149677.5</v>
      </c>
      <c r="J8" s="10">
        <f>_xlfn.STDEV.P(Dataset!I:I)</f>
        <v>22946.520820737929</v>
      </c>
      <c r="M8" t="s">
        <v>68</v>
      </c>
      <c r="N8">
        <f>CORREL(Dataset!E:E,Dataset!L:L)</f>
        <v>0.22843690683024537</v>
      </c>
    </row>
    <row r="9" spans="5:15" x14ac:dyDescent="0.3">
      <c r="E9" s="12" t="s">
        <v>57</v>
      </c>
      <c r="F9" s="10">
        <f>AVERAGE(Dataset!J:J)</f>
        <v>169609.07179999989</v>
      </c>
      <c r="G9" s="10">
        <f>MEDIAN(Dataset!J:J)</f>
        <v>35540.199999999997</v>
      </c>
      <c r="H9" s="10">
        <f>MIN(Dataset!J:J)</f>
        <v>1655.08</v>
      </c>
      <c r="I9" s="10">
        <f>MAX(Dataset!J:J)</f>
        <v>1159200</v>
      </c>
      <c r="J9" s="10">
        <f>_xlfn.STDEV.P(Dataset!J:J)</f>
        <v>236557.19622942075</v>
      </c>
    </row>
    <row r="10" spans="5:15" x14ac:dyDescent="0.3">
      <c r="E10" s="12" t="s">
        <v>3</v>
      </c>
      <c r="F10" s="10">
        <f>AVERAGE(Dataset!K:K)</f>
        <v>145475.21142857143</v>
      </c>
      <c r="G10" s="10">
        <f>MEDIAN(Dataset!K:K)</f>
        <v>22506.25</v>
      </c>
      <c r="H10" s="10">
        <f>MIN(Dataset!K:K)</f>
        <v>918</v>
      </c>
      <c r="I10" s="10">
        <f>MAX(Dataset!K:K)</f>
        <v>950625</v>
      </c>
      <c r="J10" s="10">
        <f>_xlfn.STDEV.P(Dataset!K:K)</f>
        <v>203719.83585613253</v>
      </c>
    </row>
    <row r="11" spans="5:15" x14ac:dyDescent="0.3">
      <c r="E11" s="12" t="s">
        <v>33</v>
      </c>
      <c r="F11" s="10">
        <f>AVERAGE(Dataset!L:L)</f>
        <v>24133.860371428585</v>
      </c>
      <c r="G11" s="10">
        <f>MEDIAN(Dataset!L:L)</f>
        <v>9242.1999999999989</v>
      </c>
      <c r="H11" s="10">
        <f>MIN(Dataset!L:L)</f>
        <v>-40617.5</v>
      </c>
      <c r="I11" s="10">
        <f>MAX(Dataset!L:L)</f>
        <v>262200</v>
      </c>
      <c r="J11" s="10">
        <f>_xlfn.STDEV.P(Dataset!L:L)</f>
        <v>42730.072342508858</v>
      </c>
    </row>
    <row r="13" spans="5:15" x14ac:dyDescent="0.3">
      <c r="F13" t="s">
        <v>60</v>
      </c>
      <c r="G13">
        <f>I4-H4</f>
        <v>4292.5</v>
      </c>
    </row>
    <row r="15" spans="5:15" x14ac:dyDescent="0.3">
      <c r="E15" t="s">
        <v>66</v>
      </c>
    </row>
    <row r="16" spans="5:15" x14ac:dyDescent="0.3">
      <c r="E16" t="s">
        <v>61</v>
      </c>
      <c r="F16">
        <f>_xlfn.QUARTILE.INC(Dataset!E2:E701,1)</f>
        <v>905</v>
      </c>
    </row>
    <row r="17" spans="2:14" x14ac:dyDescent="0.3">
      <c r="E17" t="s">
        <v>62</v>
      </c>
      <c r="F17">
        <f>_xlfn.QUARTILE.INC(Dataset!E2:E701,3)</f>
        <v>2229.125</v>
      </c>
    </row>
    <row r="18" spans="2:14" x14ac:dyDescent="0.3">
      <c r="E18" t="s">
        <v>63</v>
      </c>
      <c r="F18">
        <f>F17-F16</f>
        <v>1324.125</v>
      </c>
    </row>
    <row r="19" spans="2:14" x14ac:dyDescent="0.3">
      <c r="E19" t="s">
        <v>64</v>
      </c>
      <c r="F19">
        <f>F16-(1.5*F18)</f>
        <v>-1081.1875</v>
      </c>
    </row>
    <row r="20" spans="2:14" x14ac:dyDescent="0.3">
      <c r="E20" t="s">
        <v>65</v>
      </c>
      <c r="F20">
        <f>F17+1.5*F18</f>
        <v>4215.3125</v>
      </c>
    </row>
    <row r="31" spans="2:14" x14ac:dyDescent="0.3">
      <c r="B31" s="32" t="s">
        <v>117</v>
      </c>
      <c r="C31" s="33"/>
      <c r="D31" s="33"/>
      <c r="E31" s="33"/>
      <c r="L31" s="32" t="s">
        <v>118</v>
      </c>
      <c r="M31" s="33"/>
      <c r="N31" s="33"/>
    </row>
    <row r="32" spans="2:14" ht="15" thickBot="1" x14ac:dyDescent="0.35"/>
    <row r="33" spans="2:14" x14ac:dyDescent="0.3">
      <c r="B33" s="20" t="s">
        <v>71</v>
      </c>
      <c r="C33" s="20"/>
      <c r="L33" s="18"/>
      <c r="M33" s="18" t="s">
        <v>108</v>
      </c>
      <c r="N33" s="18" t="s">
        <v>109</v>
      </c>
    </row>
    <row r="34" spans="2:14" x14ac:dyDescent="0.3">
      <c r="B34" s="19" t="s">
        <v>72</v>
      </c>
      <c r="C34" s="19">
        <v>0.86765142103676052</v>
      </c>
      <c r="L34" s="19" t="s">
        <v>100</v>
      </c>
      <c r="M34" s="19">
        <v>21396.719035714279</v>
      </c>
      <c r="N34" s="19">
        <v>25208.777750000001</v>
      </c>
    </row>
    <row r="35" spans="2:14" x14ac:dyDescent="0.3">
      <c r="B35" s="19" t="s">
        <v>73</v>
      </c>
      <c r="C35" s="19">
        <v>0.75281898842710993</v>
      </c>
      <c r="L35" s="19" t="s">
        <v>101</v>
      </c>
      <c r="M35" s="19">
        <v>1494191392.2225842</v>
      </c>
      <c r="N35" s="19">
        <v>1787427505.061275</v>
      </c>
    </row>
    <row r="36" spans="2:14" x14ac:dyDescent="0.3">
      <c r="B36" s="19" t="s">
        <v>74</v>
      </c>
      <c r="C36" s="19">
        <v>0.75210971723177877</v>
      </c>
      <c r="L36" s="19" t="s">
        <v>76</v>
      </c>
      <c r="M36" s="19">
        <v>140</v>
      </c>
      <c r="N36" s="19">
        <v>140</v>
      </c>
    </row>
    <row r="37" spans="2:14" x14ac:dyDescent="0.3">
      <c r="B37" s="19" t="s">
        <v>75</v>
      </c>
      <c r="C37" s="19">
        <v>21289.909320075003</v>
      </c>
      <c r="L37" s="19" t="s">
        <v>102</v>
      </c>
      <c r="M37" s="19">
        <v>1640809448.6419296</v>
      </c>
      <c r="N37" s="19"/>
    </row>
    <row r="38" spans="2:14" ht="15" thickBot="1" x14ac:dyDescent="0.35">
      <c r="B38" s="17" t="s">
        <v>76</v>
      </c>
      <c r="C38" s="17">
        <v>700</v>
      </c>
      <c r="L38" s="19" t="s">
        <v>103</v>
      </c>
      <c r="M38" s="19">
        <v>0</v>
      </c>
      <c r="N38" s="19"/>
    </row>
    <row r="39" spans="2:14" x14ac:dyDescent="0.3">
      <c r="L39" s="19" t="s">
        <v>82</v>
      </c>
      <c r="M39" s="19">
        <v>278</v>
      </c>
      <c r="N39" s="19"/>
    </row>
    <row r="40" spans="2:14" ht="15" thickBot="1" x14ac:dyDescent="0.35">
      <c r="B40" t="s">
        <v>77</v>
      </c>
      <c r="L40" s="19" t="s">
        <v>88</v>
      </c>
      <c r="M40" s="19">
        <v>-0.78737120295358032</v>
      </c>
      <c r="N40" s="19"/>
    </row>
    <row r="41" spans="2:14" x14ac:dyDescent="0.3">
      <c r="B41" s="18"/>
      <c r="C41" s="18" t="s">
        <v>82</v>
      </c>
      <c r="D41" s="18" t="s">
        <v>83</v>
      </c>
      <c r="E41" s="18" t="s">
        <v>84</v>
      </c>
      <c r="F41" s="18" t="s">
        <v>85</v>
      </c>
      <c r="G41" s="18" t="s">
        <v>86</v>
      </c>
      <c r="L41" s="19" t="s">
        <v>104</v>
      </c>
      <c r="M41" s="19">
        <v>0.21586768261912753</v>
      </c>
      <c r="N41" s="19"/>
    </row>
    <row r="42" spans="2:14" x14ac:dyDescent="0.3">
      <c r="B42" s="19" t="s">
        <v>78</v>
      </c>
      <c r="C42" s="19">
        <v>2</v>
      </c>
      <c r="D42" s="19">
        <v>962178971193.88391</v>
      </c>
      <c r="E42" s="19">
        <v>481089485596.94196</v>
      </c>
      <c r="F42" s="19">
        <v>1061.3979439496002</v>
      </c>
      <c r="G42" s="19">
        <v>2.9225649529012385E-212</v>
      </c>
      <c r="L42" s="19" t="s">
        <v>105</v>
      </c>
      <c r="M42" s="19">
        <v>1.6503532331779542</v>
      </c>
      <c r="N42" s="19"/>
    </row>
    <row r="43" spans="2:14" x14ac:dyDescent="0.3">
      <c r="B43" s="19" t="s">
        <v>79</v>
      </c>
      <c r="C43" s="19">
        <v>697</v>
      </c>
      <c r="D43" s="19">
        <v>315922386483.34045</v>
      </c>
      <c r="E43" s="19">
        <v>453260238.85701644</v>
      </c>
      <c r="F43" s="19"/>
      <c r="G43" s="19"/>
      <c r="L43" s="19" t="s">
        <v>106</v>
      </c>
      <c r="M43" s="19">
        <v>0.43173536523825506</v>
      </c>
      <c r="N43" s="19"/>
    </row>
    <row r="44" spans="2:14" ht="15" thickBot="1" x14ac:dyDescent="0.35">
      <c r="B44" s="17" t="s">
        <v>80</v>
      </c>
      <c r="C44" s="17">
        <v>699</v>
      </c>
      <c r="D44" s="17">
        <v>1278101357677.2244</v>
      </c>
      <c r="E44" s="17"/>
      <c r="F44" s="17"/>
      <c r="G44" s="17"/>
      <c r="L44" s="17" t="s">
        <v>107</v>
      </c>
      <c r="M44" s="17">
        <v>1.9685339746407773</v>
      </c>
      <c r="N44" s="17"/>
    </row>
    <row r="45" spans="2:14" ht="15" thickBot="1" x14ac:dyDescent="0.35"/>
    <row r="46" spans="2:14" x14ac:dyDescent="0.3">
      <c r="B46" s="18"/>
      <c r="C46" s="18" t="s">
        <v>87</v>
      </c>
      <c r="D46" s="18" t="s">
        <v>75</v>
      </c>
      <c r="E46" s="18" t="s">
        <v>88</v>
      </c>
      <c r="F46" s="18" t="s">
        <v>89</v>
      </c>
      <c r="G46" s="18" t="s">
        <v>90</v>
      </c>
      <c r="H46" s="18" t="s">
        <v>91</v>
      </c>
      <c r="I46" s="18" t="s">
        <v>92</v>
      </c>
      <c r="J46" s="18" t="s">
        <v>93</v>
      </c>
    </row>
    <row r="47" spans="2:14" x14ac:dyDescent="0.3">
      <c r="B47" s="19" t="s">
        <v>81</v>
      </c>
      <c r="C47" s="19">
        <v>282.15950977870671</v>
      </c>
      <c r="D47" s="19">
        <v>991.31552591449656</v>
      </c>
      <c r="E47" s="19">
        <v>0.28463138365397062</v>
      </c>
      <c r="F47" s="19">
        <v>0.77601110941809548</v>
      </c>
      <c r="G47" s="19">
        <v>-1664.162972777292</v>
      </c>
      <c r="H47" s="19">
        <v>2228.4819923347054</v>
      </c>
      <c r="I47" s="19">
        <v>-1664.162972777292</v>
      </c>
      <c r="J47" s="19">
        <v>2228.4819923347054</v>
      </c>
    </row>
    <row r="48" spans="2:14" x14ac:dyDescent="0.3">
      <c r="B48" s="19" t="s">
        <v>94</v>
      </c>
      <c r="C48" s="19">
        <v>-0.89813993189022334</v>
      </c>
      <c r="D48" s="19">
        <v>5.2434227472992638E-2</v>
      </c>
      <c r="E48" s="19">
        <v>-17.128886515069368</v>
      </c>
      <c r="F48" s="19">
        <v>3.7126898948464038E-55</v>
      </c>
      <c r="G48" s="19">
        <v>-1.0010878966081123</v>
      </c>
      <c r="H48" s="19">
        <v>-0.79519196717233454</v>
      </c>
      <c r="I48" s="19">
        <v>-1.0010878966081123</v>
      </c>
      <c r="J48" s="19">
        <v>-0.79519196717233454</v>
      </c>
    </row>
    <row r="49" spans="2:10" ht="15" thickBot="1" x14ac:dyDescent="0.35">
      <c r="B49" s="17" t="s">
        <v>95</v>
      </c>
      <c r="C49" s="17">
        <v>0.21026327833537101</v>
      </c>
      <c r="D49" s="17">
        <v>5.0862248606525166E-3</v>
      </c>
      <c r="E49" s="17">
        <v>41.339752782458802</v>
      </c>
      <c r="F49" s="17">
        <v>1.0986356740334236E-189</v>
      </c>
      <c r="G49" s="17">
        <v>0.20027712000450967</v>
      </c>
      <c r="H49" s="17">
        <v>0.22024943666623234</v>
      </c>
      <c r="I49" s="17">
        <v>0.20027712000450967</v>
      </c>
      <c r="J49" s="17">
        <v>0.22024943666623234</v>
      </c>
    </row>
    <row r="55" spans="2:10" x14ac:dyDescent="0.3">
      <c r="C55" s="32" t="s">
        <v>119</v>
      </c>
      <c r="D55" s="33"/>
      <c r="E55" s="33"/>
      <c r="F55" s="33"/>
    </row>
  </sheetData>
  <mergeCells count="6">
    <mergeCell ref="C55:F55"/>
    <mergeCell ref="F1:H1"/>
    <mergeCell ref="L31:N31"/>
    <mergeCell ref="B31:E31"/>
    <mergeCell ref="F2:G2"/>
    <mergeCell ref="M2:O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Views>
    <sheetView zoomScale="102" zoomScaleNormal="102" workbookViewId="0">
      <selection activeCell="B100" sqref="B100:D100"/>
    </sheetView>
  </sheetViews>
  <sheetFormatPr defaultRowHeight="14.4" x14ac:dyDescent="0.3"/>
  <cols>
    <col min="1" max="1" width="12.88671875" customWidth="1"/>
    <col min="2" max="2" width="15.77734375" customWidth="1"/>
    <col min="3" max="3" width="13" customWidth="1"/>
    <col min="4" max="5" width="22.109375" bestFit="1" customWidth="1"/>
    <col min="6" max="6" width="10.77734375" bestFit="1" customWidth="1"/>
  </cols>
  <sheetData>
    <row r="1" spans="1:7" ht="18" x14ac:dyDescent="0.35">
      <c r="D1" s="34" t="s">
        <v>120</v>
      </c>
      <c r="E1" s="33"/>
      <c r="F1" s="33"/>
      <c r="G1" s="33"/>
    </row>
    <row r="2" spans="1:7" x14ac:dyDescent="0.3">
      <c r="B2" s="32" t="s">
        <v>121</v>
      </c>
      <c r="C2" s="33"/>
      <c r="D2" s="33"/>
    </row>
    <row r="3" spans="1:7" x14ac:dyDescent="0.3">
      <c r="A3" s="14" t="s">
        <v>58</v>
      </c>
      <c r="B3" t="s">
        <v>99</v>
      </c>
      <c r="C3" t="s">
        <v>110</v>
      </c>
    </row>
    <row r="4" spans="1:7" x14ac:dyDescent="0.3">
      <c r="A4" s="15" t="s">
        <v>16</v>
      </c>
      <c r="B4" s="16">
        <v>3529228.8850000002</v>
      </c>
      <c r="C4" s="16">
        <v>24887654.885000005</v>
      </c>
    </row>
    <row r="5" spans="1:7" x14ac:dyDescent="0.3">
      <c r="A5" s="15" t="s">
        <v>18</v>
      </c>
      <c r="B5" s="16">
        <v>3781020.7800000007</v>
      </c>
      <c r="C5" s="16">
        <v>24354172.280000009</v>
      </c>
    </row>
    <row r="6" spans="1:7" x14ac:dyDescent="0.3">
      <c r="A6" s="15" t="s">
        <v>19</v>
      </c>
      <c r="B6" s="16">
        <v>3680388.8200000008</v>
      </c>
      <c r="C6" s="16">
        <v>23505340.820000011</v>
      </c>
    </row>
    <row r="7" spans="1:7" x14ac:dyDescent="0.3">
      <c r="A7" s="15" t="s">
        <v>20</v>
      </c>
      <c r="B7" s="16">
        <v>2907523.1100000003</v>
      </c>
      <c r="C7" s="16">
        <v>20949352.109999999</v>
      </c>
    </row>
    <row r="8" spans="1:7" x14ac:dyDescent="0.3">
      <c r="A8" s="15" t="s">
        <v>17</v>
      </c>
      <c r="B8" s="16">
        <v>2995540.6649999991</v>
      </c>
      <c r="C8" s="16">
        <v>25029830.165000014</v>
      </c>
    </row>
    <row r="9" spans="1:7" x14ac:dyDescent="0.3">
      <c r="A9" s="15" t="s">
        <v>59</v>
      </c>
      <c r="B9" s="16">
        <v>16893702.260000002</v>
      </c>
      <c r="C9" s="16">
        <v>118726350.26000005</v>
      </c>
    </row>
    <row r="14" spans="1:7" x14ac:dyDescent="0.3">
      <c r="B14" s="32" t="s">
        <v>122</v>
      </c>
      <c r="C14" s="33"/>
      <c r="D14" s="33"/>
    </row>
    <row r="15" spans="1:7" x14ac:dyDescent="0.3">
      <c r="A15" s="14" t="s">
        <v>58</v>
      </c>
      <c r="B15" t="s">
        <v>111</v>
      </c>
      <c r="C15" t="s">
        <v>112</v>
      </c>
    </row>
    <row r="16" spans="1:7" x14ac:dyDescent="0.3">
      <c r="A16" s="15" t="s">
        <v>11</v>
      </c>
      <c r="B16" s="16">
        <v>161263.5</v>
      </c>
      <c r="C16" s="16">
        <v>1935162</v>
      </c>
    </row>
    <row r="17" spans="1:3" x14ac:dyDescent="0.3">
      <c r="A17" s="15" t="s">
        <v>9</v>
      </c>
      <c r="B17" s="16">
        <v>168552</v>
      </c>
      <c r="C17" s="16">
        <v>21069000</v>
      </c>
    </row>
    <row r="18" spans="1:3" x14ac:dyDescent="0.3">
      <c r="A18" s="15" t="s">
        <v>10</v>
      </c>
      <c r="B18" s="16">
        <v>470673.5</v>
      </c>
      <c r="C18" s="16">
        <v>56403066.5</v>
      </c>
    </row>
    <row r="19" spans="1:3" x14ac:dyDescent="0.3">
      <c r="A19" s="15" t="s">
        <v>8</v>
      </c>
      <c r="B19" s="16">
        <v>172178</v>
      </c>
      <c r="C19" s="16">
        <v>2582670</v>
      </c>
    </row>
    <row r="20" spans="1:3" x14ac:dyDescent="0.3">
      <c r="A20" s="15" t="s">
        <v>7</v>
      </c>
      <c r="B20" s="16">
        <v>153139</v>
      </c>
      <c r="C20" s="16">
        <v>45941700</v>
      </c>
    </row>
    <row r="21" spans="1:3" x14ac:dyDescent="0.3">
      <c r="A21" s="15" t="s">
        <v>59</v>
      </c>
      <c r="B21" s="16">
        <v>1125806</v>
      </c>
      <c r="C21" s="16">
        <v>127931598.5</v>
      </c>
    </row>
    <row r="36" spans="1:4" x14ac:dyDescent="0.3">
      <c r="A36" s="32" t="s">
        <v>123</v>
      </c>
      <c r="B36" s="33"/>
      <c r="C36" s="33"/>
      <c r="D36" s="33"/>
    </row>
    <row r="37" spans="1:4" x14ac:dyDescent="0.3">
      <c r="A37" s="14" t="s">
        <v>58</v>
      </c>
      <c r="B37" t="s">
        <v>113</v>
      </c>
      <c r="C37" t="s">
        <v>99</v>
      </c>
    </row>
    <row r="38" spans="1:4" x14ac:dyDescent="0.3">
      <c r="A38" s="15" t="s">
        <v>42</v>
      </c>
      <c r="B38" s="16">
        <v>12096</v>
      </c>
      <c r="C38" s="16">
        <v>2814104.06</v>
      </c>
    </row>
    <row r="39" spans="1:4" x14ac:dyDescent="0.3">
      <c r="A39" s="15" t="s">
        <v>37</v>
      </c>
      <c r="B39" s="16">
        <v>10395</v>
      </c>
      <c r="C39" s="16">
        <v>1826804.8849999998</v>
      </c>
    </row>
    <row r="40" spans="1:4" x14ac:dyDescent="0.3">
      <c r="A40" s="15" t="s">
        <v>38</v>
      </c>
      <c r="B40" s="16">
        <v>10890</v>
      </c>
      <c r="C40" s="16">
        <v>2114754.8800000004</v>
      </c>
    </row>
    <row r="41" spans="1:4" x14ac:dyDescent="0.3">
      <c r="A41" s="15" t="s">
        <v>39</v>
      </c>
      <c r="B41" s="16">
        <v>21852</v>
      </c>
      <c r="C41" s="16">
        <v>4797437.9499999993</v>
      </c>
    </row>
    <row r="42" spans="1:4" x14ac:dyDescent="0.3">
      <c r="A42" s="15" t="s">
        <v>40</v>
      </c>
      <c r="B42" s="16">
        <v>12561</v>
      </c>
      <c r="C42" s="16">
        <v>2305992.4649999999</v>
      </c>
    </row>
    <row r="43" spans="1:4" x14ac:dyDescent="0.3">
      <c r="A43" s="15" t="s">
        <v>41</v>
      </c>
      <c r="B43" s="16">
        <v>15106</v>
      </c>
      <c r="C43" s="16">
        <v>3034608.0200000005</v>
      </c>
    </row>
    <row r="44" spans="1:4" x14ac:dyDescent="0.3">
      <c r="A44" s="15" t="s">
        <v>59</v>
      </c>
      <c r="B44" s="16">
        <v>82900</v>
      </c>
      <c r="C44" s="16">
        <v>16893702.260000002</v>
      </c>
    </row>
    <row r="52" spans="1:4" x14ac:dyDescent="0.3">
      <c r="A52" s="32" t="s">
        <v>124</v>
      </c>
      <c r="B52" s="33"/>
      <c r="C52" s="33"/>
      <c r="D52" s="33"/>
    </row>
    <row r="77" spans="1:15" x14ac:dyDescent="0.3">
      <c r="A77" s="32" t="s">
        <v>125</v>
      </c>
      <c r="B77" s="33"/>
      <c r="C77" s="33"/>
      <c r="D77" s="33"/>
      <c r="J77" s="32" t="s">
        <v>126</v>
      </c>
      <c r="K77" s="33"/>
      <c r="L77" s="33"/>
      <c r="M77" s="33"/>
      <c r="N77" s="33"/>
      <c r="O77" s="33"/>
    </row>
    <row r="100" spans="1:6" x14ac:dyDescent="0.3">
      <c r="B100" s="32" t="s">
        <v>127</v>
      </c>
      <c r="C100" s="33"/>
      <c r="D100" s="33"/>
    </row>
    <row r="104" spans="1:6" ht="15" thickBot="1" x14ac:dyDescent="0.35"/>
    <row r="105" spans="1:6" x14ac:dyDescent="0.3">
      <c r="C105" s="18"/>
      <c r="D105" s="18" t="s">
        <v>57</v>
      </c>
      <c r="E105" s="18" t="s">
        <v>3</v>
      </c>
      <c r="F105" s="18" t="s">
        <v>33</v>
      </c>
    </row>
    <row r="106" spans="1:6" x14ac:dyDescent="0.3">
      <c r="C106" s="19" t="s">
        <v>57</v>
      </c>
      <c r="D106" s="19">
        <v>1</v>
      </c>
      <c r="E106" s="19"/>
      <c r="F106" s="19"/>
    </row>
    <row r="107" spans="1:6" x14ac:dyDescent="0.3">
      <c r="C107" s="19" t="s">
        <v>3</v>
      </c>
      <c r="D107" s="19">
        <v>0.99224377221033233</v>
      </c>
      <c r="E107" s="19">
        <v>1</v>
      </c>
      <c r="F107" s="19"/>
    </row>
    <row r="108" spans="1:6" ht="15" thickBot="1" x14ac:dyDescent="0.35">
      <c r="C108" s="17" t="s">
        <v>33</v>
      </c>
      <c r="D108" s="17">
        <v>0.80546219415646503</v>
      </c>
      <c r="E108" s="17">
        <v>0.72554449769105289</v>
      </c>
      <c r="F108" s="17">
        <v>1</v>
      </c>
    </row>
    <row r="111" spans="1:6" x14ac:dyDescent="0.3">
      <c r="A111" s="32" t="s">
        <v>128</v>
      </c>
      <c r="B111" s="33"/>
      <c r="C111" s="33"/>
      <c r="D111" s="33"/>
    </row>
    <row r="112" spans="1:6" x14ac:dyDescent="0.3">
      <c r="A112" s="14" t="s">
        <v>58</v>
      </c>
      <c r="B112" t="s">
        <v>99</v>
      </c>
      <c r="C112" t="s">
        <v>110</v>
      </c>
    </row>
    <row r="113" spans="1:3" x14ac:dyDescent="0.3">
      <c r="A113" s="15" t="s">
        <v>14</v>
      </c>
      <c r="B113" s="16">
        <v>3878464.51</v>
      </c>
      <c r="C113" s="16">
        <v>26415255.509999998</v>
      </c>
    </row>
    <row r="114" spans="1:3" x14ac:dyDescent="0.3">
      <c r="A114" s="31" t="s">
        <v>29</v>
      </c>
      <c r="B114" s="16">
        <v>763603.03000000014</v>
      </c>
      <c r="C114" s="16">
        <v>4484000.03</v>
      </c>
    </row>
    <row r="115" spans="1:3" x14ac:dyDescent="0.3">
      <c r="A115" s="31" t="s">
        <v>30</v>
      </c>
      <c r="B115" s="16">
        <v>1657795.0999999999</v>
      </c>
      <c r="C115" s="16">
        <v>9295611.0999999959</v>
      </c>
    </row>
    <row r="116" spans="1:3" x14ac:dyDescent="0.3">
      <c r="A116" s="31" t="s">
        <v>31</v>
      </c>
      <c r="B116" s="16">
        <v>765502.3</v>
      </c>
      <c r="C116" s="16">
        <v>7267203.2999999998</v>
      </c>
    </row>
    <row r="117" spans="1:3" x14ac:dyDescent="0.3">
      <c r="A117" s="31" t="s">
        <v>32</v>
      </c>
      <c r="B117" s="16">
        <v>691564.08000000007</v>
      </c>
      <c r="C117" s="16">
        <v>5368441.08</v>
      </c>
    </row>
    <row r="118" spans="1:3" x14ac:dyDescent="0.3">
      <c r="A118" s="15" t="s">
        <v>15</v>
      </c>
      <c r="B118" s="16">
        <v>13015237.75</v>
      </c>
      <c r="C118" s="16">
        <v>92311094.750000015</v>
      </c>
    </row>
    <row r="119" spans="1:3" x14ac:dyDescent="0.3">
      <c r="A119" s="31" t="s">
        <v>21</v>
      </c>
      <c r="B119" s="16">
        <v>814028.67999999993</v>
      </c>
      <c r="C119" s="16">
        <v>6607761.6800000006</v>
      </c>
    </row>
    <row r="120" spans="1:3" x14ac:dyDescent="0.3">
      <c r="A120" s="31" t="s">
        <v>22</v>
      </c>
      <c r="B120" s="16">
        <v>1148547.3899999999</v>
      </c>
      <c r="C120" s="16">
        <v>7297531.3900000006</v>
      </c>
    </row>
    <row r="121" spans="1:3" x14ac:dyDescent="0.3">
      <c r="A121" s="31" t="s">
        <v>23</v>
      </c>
      <c r="B121" s="16">
        <v>669866.87</v>
      </c>
      <c r="C121" s="16">
        <v>5586859.8699999992</v>
      </c>
    </row>
    <row r="122" spans="1:3" x14ac:dyDescent="0.3">
      <c r="A122" s="31" t="s">
        <v>24</v>
      </c>
      <c r="B122" s="16">
        <v>929984.56999999983</v>
      </c>
      <c r="C122" s="16">
        <v>6964775.0700000003</v>
      </c>
    </row>
    <row r="123" spans="1:3" x14ac:dyDescent="0.3">
      <c r="A123" s="31" t="s">
        <v>25</v>
      </c>
      <c r="B123" s="16">
        <v>828640.06</v>
      </c>
      <c r="C123" s="16">
        <v>6210211.0600000005</v>
      </c>
    </row>
    <row r="124" spans="1:3" x14ac:dyDescent="0.3">
      <c r="A124" s="31" t="s">
        <v>26</v>
      </c>
      <c r="B124" s="16">
        <v>1473753.8200000003</v>
      </c>
      <c r="C124" s="16">
        <v>9518893.8199999966</v>
      </c>
    </row>
    <row r="125" spans="1:3" x14ac:dyDescent="0.3">
      <c r="A125" s="31" t="s">
        <v>27</v>
      </c>
      <c r="B125" s="16">
        <v>923865.67999999982</v>
      </c>
      <c r="C125" s="16">
        <v>8102920.1800000016</v>
      </c>
    </row>
    <row r="126" spans="1:3" x14ac:dyDescent="0.3">
      <c r="A126" s="31" t="s">
        <v>28</v>
      </c>
      <c r="B126" s="16">
        <v>791066.41999999993</v>
      </c>
      <c r="C126" s="16">
        <v>5864622.4199999999</v>
      </c>
    </row>
    <row r="127" spans="1:3" x14ac:dyDescent="0.3">
      <c r="A127" s="31" t="s">
        <v>29</v>
      </c>
      <c r="B127" s="16">
        <v>1023132.24</v>
      </c>
      <c r="C127" s="16">
        <v>6398697.2400000002</v>
      </c>
    </row>
    <row r="128" spans="1:3" x14ac:dyDescent="0.3">
      <c r="A128" s="31" t="s">
        <v>30</v>
      </c>
      <c r="B128" s="16">
        <v>1781985.9200000004</v>
      </c>
      <c r="C128" s="16">
        <v>12375819.919999994</v>
      </c>
    </row>
    <row r="129" spans="1:3" x14ac:dyDescent="0.3">
      <c r="A129" s="31" t="s">
        <v>31</v>
      </c>
      <c r="B129" s="16">
        <v>604600.19999999995</v>
      </c>
      <c r="C129" s="16">
        <v>5384214.2000000002</v>
      </c>
    </row>
    <row r="130" spans="1:3" x14ac:dyDescent="0.3">
      <c r="A130" s="31" t="s">
        <v>32</v>
      </c>
      <c r="B130" s="16">
        <v>2025765.9000000008</v>
      </c>
      <c r="C130" s="16">
        <v>11998787.900000002</v>
      </c>
    </row>
    <row r="131" spans="1:3" x14ac:dyDescent="0.3">
      <c r="A131" s="15" t="s">
        <v>59</v>
      </c>
      <c r="B131" s="16">
        <v>16893702.260000002</v>
      </c>
      <c r="C131" s="16">
        <v>118726350.26000001</v>
      </c>
    </row>
  </sheetData>
  <mergeCells count="9">
    <mergeCell ref="B100:D100"/>
    <mergeCell ref="A111:D111"/>
    <mergeCell ref="J77:O77"/>
    <mergeCell ref="D1:G1"/>
    <mergeCell ref="B2:D2"/>
    <mergeCell ref="B14:D14"/>
    <mergeCell ref="A36:D36"/>
    <mergeCell ref="A52:D52"/>
    <mergeCell ref="A77:D77"/>
  </mergeCells>
  <conditionalFormatting sqref="C105:F10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1"/>
  <sheetViews>
    <sheetView topLeftCell="A673" workbookViewId="0">
      <selection activeCell="S687" sqref="S687"/>
    </sheetView>
  </sheetViews>
  <sheetFormatPr defaultRowHeight="14.4" x14ac:dyDescent="0.3"/>
  <cols>
    <col min="1" max="1" width="14.33203125" style="1" customWidth="1"/>
    <col min="2" max="2" width="17.6640625" style="1" customWidth="1"/>
    <col min="3" max="3" width="18.44140625" bestFit="1" customWidth="1"/>
  </cols>
  <sheetData>
    <row r="1" spans="1:3" x14ac:dyDescent="0.3">
      <c r="A1" t="s">
        <v>4</v>
      </c>
      <c r="B1" t="s">
        <v>57</v>
      </c>
      <c r="C1" s="1" t="s">
        <v>33</v>
      </c>
    </row>
    <row r="2" spans="1:3" x14ac:dyDescent="0.3">
      <c r="A2">
        <v>1618.5</v>
      </c>
      <c r="B2" s="1">
        <v>32370</v>
      </c>
      <c r="C2" s="1">
        <v>16185</v>
      </c>
    </row>
    <row r="3" spans="1:3" x14ac:dyDescent="0.3">
      <c r="A3">
        <v>1321</v>
      </c>
      <c r="B3" s="1">
        <v>26420</v>
      </c>
      <c r="C3" s="1">
        <v>13210</v>
      </c>
    </row>
    <row r="4" spans="1:3" x14ac:dyDescent="0.3">
      <c r="A4">
        <v>2178</v>
      </c>
      <c r="B4" s="1">
        <v>32670</v>
      </c>
      <c r="C4" s="1">
        <v>10890</v>
      </c>
    </row>
    <row r="5" spans="1:3" x14ac:dyDescent="0.3">
      <c r="A5">
        <v>888</v>
      </c>
      <c r="B5" s="1">
        <v>13320</v>
      </c>
      <c r="C5" s="1">
        <v>4440</v>
      </c>
    </row>
    <row r="6" spans="1:3" x14ac:dyDescent="0.3">
      <c r="A6">
        <v>2470</v>
      </c>
      <c r="B6" s="1">
        <v>37050</v>
      </c>
      <c r="C6" s="1">
        <v>12350</v>
      </c>
    </row>
    <row r="7" spans="1:3" x14ac:dyDescent="0.3">
      <c r="A7">
        <v>1513</v>
      </c>
      <c r="B7" s="1">
        <v>529550</v>
      </c>
      <c r="C7" s="1">
        <v>136170</v>
      </c>
    </row>
    <row r="8" spans="1:3" x14ac:dyDescent="0.3">
      <c r="A8">
        <v>921</v>
      </c>
      <c r="B8" s="1">
        <v>13815</v>
      </c>
      <c r="C8" s="1">
        <v>4605</v>
      </c>
    </row>
    <row r="9" spans="1:3" x14ac:dyDescent="0.3">
      <c r="A9">
        <v>2518</v>
      </c>
      <c r="B9" s="1">
        <v>30216</v>
      </c>
      <c r="C9" s="1">
        <v>22662</v>
      </c>
    </row>
    <row r="10" spans="1:3" x14ac:dyDescent="0.3">
      <c r="A10">
        <v>1899</v>
      </c>
      <c r="B10" s="1">
        <v>37980</v>
      </c>
      <c r="C10" s="1">
        <v>18990</v>
      </c>
    </row>
    <row r="11" spans="1:3" x14ac:dyDescent="0.3">
      <c r="A11">
        <v>1545</v>
      </c>
      <c r="B11" s="1">
        <v>18540</v>
      </c>
      <c r="C11" s="1">
        <v>13905</v>
      </c>
    </row>
    <row r="12" spans="1:3" x14ac:dyDescent="0.3">
      <c r="A12">
        <v>2470</v>
      </c>
      <c r="B12" s="1">
        <v>37050</v>
      </c>
      <c r="C12" s="1">
        <v>12350</v>
      </c>
    </row>
    <row r="13" spans="1:3" x14ac:dyDescent="0.3">
      <c r="A13">
        <v>2665.5</v>
      </c>
      <c r="B13" s="1">
        <v>333187.5</v>
      </c>
      <c r="C13" s="1">
        <v>13327.5</v>
      </c>
    </row>
    <row r="14" spans="1:3" x14ac:dyDescent="0.3">
      <c r="A14">
        <v>958</v>
      </c>
      <c r="B14" s="1">
        <v>287400</v>
      </c>
      <c r="C14" s="1">
        <v>47900</v>
      </c>
    </row>
    <row r="15" spans="1:3" x14ac:dyDescent="0.3">
      <c r="A15">
        <v>2146</v>
      </c>
      <c r="B15" s="1">
        <v>15022</v>
      </c>
      <c r="C15" s="1">
        <v>4292</v>
      </c>
    </row>
    <row r="16" spans="1:3" x14ac:dyDescent="0.3">
      <c r="A16">
        <v>345</v>
      </c>
      <c r="B16" s="1">
        <v>43125</v>
      </c>
      <c r="C16" s="1">
        <v>1725</v>
      </c>
    </row>
    <row r="17" spans="1:3" x14ac:dyDescent="0.3">
      <c r="A17">
        <v>615</v>
      </c>
      <c r="B17" s="1">
        <v>9225</v>
      </c>
      <c r="C17" s="1">
        <v>3075</v>
      </c>
    </row>
    <row r="18" spans="1:3" x14ac:dyDescent="0.3">
      <c r="A18">
        <v>292</v>
      </c>
      <c r="B18" s="1">
        <v>5840</v>
      </c>
      <c r="C18" s="1">
        <v>2920</v>
      </c>
    </row>
    <row r="19" spans="1:3" x14ac:dyDescent="0.3">
      <c r="A19">
        <v>974</v>
      </c>
      <c r="B19" s="1">
        <v>14610</v>
      </c>
      <c r="C19" s="1">
        <v>4870</v>
      </c>
    </row>
    <row r="20" spans="1:3" x14ac:dyDescent="0.3">
      <c r="A20">
        <v>2518</v>
      </c>
      <c r="B20" s="1">
        <v>30216</v>
      </c>
      <c r="C20" s="1">
        <v>22662</v>
      </c>
    </row>
    <row r="21" spans="1:3" x14ac:dyDescent="0.3">
      <c r="A21">
        <v>1006</v>
      </c>
      <c r="B21" s="1">
        <v>352100</v>
      </c>
      <c r="C21" s="1">
        <v>90540</v>
      </c>
    </row>
    <row r="22" spans="1:3" x14ac:dyDescent="0.3">
      <c r="A22">
        <v>367</v>
      </c>
      <c r="B22" s="1">
        <v>4404</v>
      </c>
      <c r="C22" s="1">
        <v>3303</v>
      </c>
    </row>
    <row r="23" spans="1:3" x14ac:dyDescent="0.3">
      <c r="A23">
        <v>883</v>
      </c>
      <c r="B23" s="1">
        <v>6181</v>
      </c>
      <c r="C23" s="1">
        <v>1766</v>
      </c>
    </row>
    <row r="24" spans="1:3" x14ac:dyDescent="0.3">
      <c r="A24">
        <v>549</v>
      </c>
      <c r="B24" s="1">
        <v>8235</v>
      </c>
      <c r="C24" s="1">
        <v>2745</v>
      </c>
    </row>
    <row r="25" spans="1:3" x14ac:dyDescent="0.3">
      <c r="A25">
        <v>788</v>
      </c>
      <c r="B25" s="1">
        <v>236400</v>
      </c>
      <c r="C25" s="1">
        <v>39400</v>
      </c>
    </row>
    <row r="26" spans="1:3" x14ac:dyDescent="0.3">
      <c r="A26">
        <v>2472</v>
      </c>
      <c r="B26" s="1">
        <v>37080</v>
      </c>
      <c r="C26" s="1">
        <v>12360</v>
      </c>
    </row>
    <row r="27" spans="1:3" x14ac:dyDescent="0.3">
      <c r="A27">
        <v>1143</v>
      </c>
      <c r="B27" s="1">
        <v>8001</v>
      </c>
      <c r="C27" s="1">
        <v>2286</v>
      </c>
    </row>
    <row r="28" spans="1:3" x14ac:dyDescent="0.3">
      <c r="A28">
        <v>1725</v>
      </c>
      <c r="B28" s="1">
        <v>603750</v>
      </c>
      <c r="C28" s="1">
        <v>155250</v>
      </c>
    </row>
    <row r="29" spans="1:3" x14ac:dyDescent="0.3">
      <c r="A29">
        <v>912</v>
      </c>
      <c r="B29" s="1">
        <v>10944</v>
      </c>
      <c r="C29" s="1">
        <v>8208</v>
      </c>
    </row>
    <row r="30" spans="1:3" x14ac:dyDescent="0.3">
      <c r="A30">
        <v>2152</v>
      </c>
      <c r="B30" s="1">
        <v>32280</v>
      </c>
      <c r="C30" s="1">
        <v>10760</v>
      </c>
    </row>
    <row r="31" spans="1:3" x14ac:dyDescent="0.3">
      <c r="A31">
        <v>1817</v>
      </c>
      <c r="B31" s="1">
        <v>36340</v>
      </c>
      <c r="C31" s="1">
        <v>18170</v>
      </c>
    </row>
    <row r="32" spans="1:3" x14ac:dyDescent="0.3">
      <c r="A32">
        <v>1513</v>
      </c>
      <c r="B32" s="1">
        <v>529550</v>
      </c>
      <c r="C32" s="1">
        <v>136170</v>
      </c>
    </row>
    <row r="33" spans="1:3" x14ac:dyDescent="0.3">
      <c r="A33">
        <v>1493</v>
      </c>
      <c r="B33" s="1">
        <v>10451</v>
      </c>
      <c r="C33" s="1">
        <v>2986</v>
      </c>
    </row>
    <row r="34" spans="1:3" x14ac:dyDescent="0.3">
      <c r="A34">
        <v>1804</v>
      </c>
      <c r="B34" s="1">
        <v>225500</v>
      </c>
      <c r="C34" s="1">
        <v>9020</v>
      </c>
    </row>
    <row r="35" spans="1:3" x14ac:dyDescent="0.3">
      <c r="A35">
        <v>2161</v>
      </c>
      <c r="B35" s="1">
        <v>25932</v>
      </c>
      <c r="C35" s="1">
        <v>19449</v>
      </c>
    </row>
    <row r="36" spans="1:3" x14ac:dyDescent="0.3">
      <c r="A36">
        <v>1006</v>
      </c>
      <c r="B36" s="1">
        <v>352100</v>
      </c>
      <c r="C36" s="1">
        <v>90540</v>
      </c>
    </row>
    <row r="37" spans="1:3" x14ac:dyDescent="0.3">
      <c r="A37">
        <v>1545</v>
      </c>
      <c r="B37" s="1">
        <v>18540</v>
      </c>
      <c r="C37" s="1">
        <v>13905</v>
      </c>
    </row>
    <row r="38" spans="1:3" x14ac:dyDescent="0.3">
      <c r="A38">
        <v>2821</v>
      </c>
      <c r="B38" s="1">
        <v>352625</v>
      </c>
      <c r="C38" s="1">
        <v>14105</v>
      </c>
    </row>
    <row r="39" spans="1:3" x14ac:dyDescent="0.3">
      <c r="A39">
        <v>345</v>
      </c>
      <c r="B39" s="1">
        <v>43125</v>
      </c>
      <c r="C39" s="1">
        <v>1725</v>
      </c>
    </row>
    <row r="40" spans="1:3" x14ac:dyDescent="0.3">
      <c r="A40">
        <v>2001</v>
      </c>
      <c r="B40" s="1">
        <v>600300</v>
      </c>
      <c r="C40" s="1">
        <v>100050</v>
      </c>
    </row>
    <row r="41" spans="1:3" x14ac:dyDescent="0.3">
      <c r="A41">
        <v>2838</v>
      </c>
      <c r="B41" s="1">
        <v>34056</v>
      </c>
      <c r="C41" s="1">
        <v>25542</v>
      </c>
    </row>
    <row r="42" spans="1:3" x14ac:dyDescent="0.3">
      <c r="A42">
        <v>2178</v>
      </c>
      <c r="B42" s="1">
        <v>32670</v>
      </c>
      <c r="C42" s="1">
        <v>10890</v>
      </c>
    </row>
    <row r="43" spans="1:3" x14ac:dyDescent="0.3">
      <c r="A43">
        <v>888</v>
      </c>
      <c r="B43" s="1">
        <v>13320</v>
      </c>
      <c r="C43" s="1">
        <v>4440</v>
      </c>
    </row>
    <row r="44" spans="1:3" x14ac:dyDescent="0.3">
      <c r="A44">
        <v>1527</v>
      </c>
      <c r="B44" s="1">
        <v>534450</v>
      </c>
      <c r="C44" s="1">
        <v>137430</v>
      </c>
    </row>
    <row r="45" spans="1:3" x14ac:dyDescent="0.3">
      <c r="A45">
        <v>2151</v>
      </c>
      <c r="B45" s="1">
        <v>645300</v>
      </c>
      <c r="C45" s="1">
        <v>107550</v>
      </c>
    </row>
    <row r="46" spans="1:3" x14ac:dyDescent="0.3">
      <c r="A46">
        <v>1817</v>
      </c>
      <c r="B46" s="1">
        <v>36340</v>
      </c>
      <c r="C46" s="1">
        <v>18170</v>
      </c>
    </row>
    <row r="47" spans="1:3" x14ac:dyDescent="0.3">
      <c r="A47">
        <v>2750</v>
      </c>
      <c r="B47" s="1">
        <v>962500</v>
      </c>
      <c r="C47" s="1">
        <v>247500</v>
      </c>
    </row>
    <row r="48" spans="1:3" x14ac:dyDescent="0.3">
      <c r="A48">
        <v>1953</v>
      </c>
      <c r="B48" s="1">
        <v>23436</v>
      </c>
      <c r="C48" s="1">
        <v>17577</v>
      </c>
    </row>
    <row r="49" spans="1:3" x14ac:dyDescent="0.3">
      <c r="A49">
        <v>4219.5</v>
      </c>
      <c r="B49" s="1">
        <v>527437.5</v>
      </c>
      <c r="C49" s="1">
        <v>21097.5</v>
      </c>
    </row>
    <row r="50" spans="1:3" x14ac:dyDescent="0.3">
      <c r="A50">
        <v>1899</v>
      </c>
      <c r="B50" s="1">
        <v>37980</v>
      </c>
      <c r="C50" s="1">
        <v>18990</v>
      </c>
    </row>
    <row r="51" spans="1:3" x14ac:dyDescent="0.3">
      <c r="A51">
        <v>1686</v>
      </c>
      <c r="B51" s="1">
        <v>11802</v>
      </c>
      <c r="C51" s="1">
        <v>3372</v>
      </c>
    </row>
    <row r="52" spans="1:3" x14ac:dyDescent="0.3">
      <c r="A52">
        <v>2141</v>
      </c>
      <c r="B52" s="1">
        <v>25692</v>
      </c>
      <c r="C52" s="1">
        <v>19269</v>
      </c>
    </row>
    <row r="53" spans="1:3" x14ac:dyDescent="0.3">
      <c r="A53">
        <v>1143</v>
      </c>
      <c r="B53" s="1">
        <v>8001</v>
      </c>
      <c r="C53" s="1">
        <v>2286</v>
      </c>
    </row>
    <row r="54" spans="1:3" x14ac:dyDescent="0.3">
      <c r="A54">
        <v>615</v>
      </c>
      <c r="B54" s="1">
        <v>9225</v>
      </c>
      <c r="C54" s="1">
        <v>3075</v>
      </c>
    </row>
    <row r="55" spans="1:3" x14ac:dyDescent="0.3">
      <c r="A55">
        <v>3945</v>
      </c>
      <c r="B55" s="1">
        <v>27338.850000000002</v>
      </c>
      <c r="C55" s="1">
        <v>7613.8500000000022</v>
      </c>
    </row>
    <row r="56" spans="1:3" x14ac:dyDescent="0.3">
      <c r="A56">
        <v>2296</v>
      </c>
      <c r="B56" s="1">
        <v>34095.599999999999</v>
      </c>
      <c r="C56" s="1">
        <v>11135.599999999999</v>
      </c>
    </row>
    <row r="57" spans="1:3" x14ac:dyDescent="0.3">
      <c r="A57">
        <v>1030</v>
      </c>
      <c r="B57" s="1">
        <v>7137.9</v>
      </c>
      <c r="C57" s="1">
        <v>1987.8999999999996</v>
      </c>
    </row>
    <row r="58" spans="1:3" x14ac:dyDescent="0.3">
      <c r="A58">
        <v>639</v>
      </c>
      <c r="B58" s="1">
        <v>4428.2700000000004</v>
      </c>
      <c r="C58" s="1">
        <v>1233.2700000000004</v>
      </c>
    </row>
    <row r="59" spans="1:3" x14ac:dyDescent="0.3">
      <c r="A59">
        <v>1326</v>
      </c>
      <c r="B59" s="1">
        <v>9189.18</v>
      </c>
      <c r="C59" s="1">
        <v>2559.1800000000003</v>
      </c>
    </row>
    <row r="60" spans="1:3" x14ac:dyDescent="0.3">
      <c r="A60">
        <v>1858</v>
      </c>
      <c r="B60" s="1">
        <v>22073.040000000001</v>
      </c>
      <c r="C60" s="1">
        <v>16499.04</v>
      </c>
    </row>
    <row r="61" spans="1:3" x14ac:dyDescent="0.3">
      <c r="A61">
        <v>1210</v>
      </c>
      <c r="B61" s="1">
        <v>419265</v>
      </c>
      <c r="C61" s="1">
        <v>104665</v>
      </c>
    </row>
    <row r="62" spans="1:3" x14ac:dyDescent="0.3">
      <c r="A62">
        <v>2529</v>
      </c>
      <c r="B62" s="1">
        <v>17525.97</v>
      </c>
      <c r="C62" s="1">
        <v>4880.9699999999993</v>
      </c>
    </row>
    <row r="63" spans="1:3" x14ac:dyDescent="0.3">
      <c r="A63">
        <v>1445</v>
      </c>
      <c r="B63" s="1">
        <v>17166.599999999999</v>
      </c>
      <c r="C63" s="1">
        <v>12831.599999999999</v>
      </c>
    </row>
    <row r="64" spans="1:3" x14ac:dyDescent="0.3">
      <c r="A64">
        <v>330</v>
      </c>
      <c r="B64" s="1">
        <v>40837.5</v>
      </c>
      <c r="C64" s="1">
        <v>1237.5</v>
      </c>
    </row>
    <row r="65" spans="1:3" x14ac:dyDescent="0.3">
      <c r="A65">
        <v>2671</v>
      </c>
      <c r="B65" s="1">
        <v>31731.48</v>
      </c>
      <c r="C65" s="1">
        <v>23718.48</v>
      </c>
    </row>
    <row r="66" spans="1:3" x14ac:dyDescent="0.3">
      <c r="A66">
        <v>766</v>
      </c>
      <c r="B66" s="1">
        <v>9100.08</v>
      </c>
      <c r="C66" s="1">
        <v>6802.08</v>
      </c>
    </row>
    <row r="67" spans="1:3" x14ac:dyDescent="0.3">
      <c r="A67">
        <v>494</v>
      </c>
      <c r="B67" s="1">
        <v>146718</v>
      </c>
      <c r="C67" s="1">
        <v>23218</v>
      </c>
    </row>
    <row r="68" spans="1:3" x14ac:dyDescent="0.3">
      <c r="A68">
        <v>1397</v>
      </c>
      <c r="B68" s="1">
        <v>484060.5</v>
      </c>
      <c r="C68" s="1">
        <v>120840.5</v>
      </c>
    </row>
    <row r="69" spans="1:3" x14ac:dyDescent="0.3">
      <c r="A69">
        <v>2155</v>
      </c>
      <c r="B69" s="1">
        <v>746707.5</v>
      </c>
      <c r="C69" s="1">
        <v>186407.5</v>
      </c>
    </row>
    <row r="70" spans="1:3" x14ac:dyDescent="0.3">
      <c r="A70">
        <v>2214</v>
      </c>
      <c r="B70" s="1">
        <v>32877.9</v>
      </c>
      <c r="C70" s="1">
        <v>10737.900000000001</v>
      </c>
    </row>
    <row r="71" spans="1:3" x14ac:dyDescent="0.3">
      <c r="A71">
        <v>2301</v>
      </c>
      <c r="B71" s="1">
        <v>683397</v>
      </c>
      <c r="C71" s="1">
        <v>108147</v>
      </c>
    </row>
    <row r="72" spans="1:3" x14ac:dyDescent="0.3">
      <c r="A72">
        <v>1375.5</v>
      </c>
      <c r="B72" s="1">
        <v>27234.899999999998</v>
      </c>
      <c r="C72" s="1">
        <v>13479.899999999998</v>
      </c>
    </row>
    <row r="73" spans="1:3" x14ac:dyDescent="0.3">
      <c r="A73">
        <v>1830</v>
      </c>
      <c r="B73" s="1">
        <v>12681.9</v>
      </c>
      <c r="C73" s="1">
        <v>3531.8999999999996</v>
      </c>
    </row>
    <row r="74" spans="1:3" x14ac:dyDescent="0.3">
      <c r="A74">
        <v>2498</v>
      </c>
      <c r="B74" s="1">
        <v>741906</v>
      </c>
      <c r="C74" s="1">
        <v>117406</v>
      </c>
    </row>
    <row r="75" spans="1:3" x14ac:dyDescent="0.3">
      <c r="A75">
        <v>663</v>
      </c>
      <c r="B75" s="1">
        <v>82046.25</v>
      </c>
      <c r="C75" s="1">
        <v>2486.25</v>
      </c>
    </row>
    <row r="76" spans="1:3" x14ac:dyDescent="0.3">
      <c r="A76">
        <v>1514</v>
      </c>
      <c r="B76" s="1">
        <v>22482.9</v>
      </c>
      <c r="C76" s="1">
        <v>7342.9000000000015</v>
      </c>
    </row>
    <row r="77" spans="1:3" x14ac:dyDescent="0.3">
      <c r="A77">
        <v>4492.5</v>
      </c>
      <c r="B77" s="1">
        <v>31133.024999999998</v>
      </c>
      <c r="C77" s="1">
        <v>8670.5249999999978</v>
      </c>
    </row>
    <row r="78" spans="1:3" x14ac:dyDescent="0.3">
      <c r="A78">
        <v>727</v>
      </c>
      <c r="B78" s="1">
        <v>89966.25</v>
      </c>
      <c r="C78" s="1">
        <v>2726.25</v>
      </c>
    </row>
    <row r="79" spans="1:3" x14ac:dyDescent="0.3">
      <c r="A79">
        <v>787</v>
      </c>
      <c r="B79" s="1">
        <v>97391.25</v>
      </c>
      <c r="C79" s="1">
        <v>2951.25</v>
      </c>
    </row>
    <row r="80" spans="1:3" x14ac:dyDescent="0.3">
      <c r="A80">
        <v>1823</v>
      </c>
      <c r="B80" s="1">
        <v>225596.25</v>
      </c>
      <c r="C80" s="1">
        <v>6836.25</v>
      </c>
    </row>
    <row r="81" spans="1:3" x14ac:dyDescent="0.3">
      <c r="A81">
        <v>747</v>
      </c>
      <c r="B81" s="1">
        <v>11092.95</v>
      </c>
      <c r="C81" s="1">
        <v>3622.9500000000007</v>
      </c>
    </row>
    <row r="82" spans="1:3" x14ac:dyDescent="0.3">
      <c r="A82">
        <v>766</v>
      </c>
      <c r="B82" s="1">
        <v>9100.08</v>
      </c>
      <c r="C82" s="1">
        <v>6802.08</v>
      </c>
    </row>
    <row r="83" spans="1:3" x14ac:dyDescent="0.3">
      <c r="A83">
        <v>2905</v>
      </c>
      <c r="B83" s="1">
        <v>862785</v>
      </c>
      <c r="C83" s="1">
        <v>136535</v>
      </c>
    </row>
    <row r="84" spans="1:3" x14ac:dyDescent="0.3">
      <c r="A84">
        <v>2155</v>
      </c>
      <c r="B84" s="1">
        <v>746707.5</v>
      </c>
      <c r="C84" s="1">
        <v>186407.5</v>
      </c>
    </row>
    <row r="85" spans="1:3" x14ac:dyDescent="0.3">
      <c r="A85">
        <v>3864</v>
      </c>
      <c r="B85" s="1">
        <v>76507.200000000012</v>
      </c>
      <c r="C85" s="1">
        <v>37867.200000000004</v>
      </c>
    </row>
    <row r="86" spans="1:3" x14ac:dyDescent="0.3">
      <c r="A86">
        <v>362</v>
      </c>
      <c r="B86" s="1">
        <v>2508.66</v>
      </c>
      <c r="C86" s="1">
        <v>698.65999999999985</v>
      </c>
    </row>
    <row r="87" spans="1:3" x14ac:dyDescent="0.3">
      <c r="A87">
        <v>923</v>
      </c>
      <c r="B87" s="1">
        <v>114221.25</v>
      </c>
      <c r="C87" s="1">
        <v>3461.25</v>
      </c>
    </row>
    <row r="88" spans="1:3" x14ac:dyDescent="0.3">
      <c r="A88">
        <v>663</v>
      </c>
      <c r="B88" s="1">
        <v>82046.25</v>
      </c>
      <c r="C88" s="1">
        <v>2486.25</v>
      </c>
    </row>
    <row r="89" spans="1:3" x14ac:dyDescent="0.3">
      <c r="A89">
        <v>2092</v>
      </c>
      <c r="B89" s="1">
        <v>14497.56</v>
      </c>
      <c r="C89" s="1">
        <v>4037.5599999999995</v>
      </c>
    </row>
    <row r="90" spans="1:3" x14ac:dyDescent="0.3">
      <c r="A90">
        <v>263</v>
      </c>
      <c r="B90" s="1">
        <v>1822.59</v>
      </c>
      <c r="C90" s="1">
        <v>507.58999999999992</v>
      </c>
    </row>
    <row r="91" spans="1:3" x14ac:dyDescent="0.3">
      <c r="A91">
        <v>943.5</v>
      </c>
      <c r="B91" s="1">
        <v>326922.75</v>
      </c>
      <c r="C91" s="1">
        <v>81612.75</v>
      </c>
    </row>
    <row r="92" spans="1:3" x14ac:dyDescent="0.3">
      <c r="A92">
        <v>727</v>
      </c>
      <c r="B92" s="1">
        <v>89966.25</v>
      </c>
      <c r="C92" s="1">
        <v>2726.25</v>
      </c>
    </row>
    <row r="93" spans="1:3" x14ac:dyDescent="0.3">
      <c r="A93">
        <v>787</v>
      </c>
      <c r="B93" s="1">
        <v>97391.25</v>
      </c>
      <c r="C93" s="1">
        <v>2951.25</v>
      </c>
    </row>
    <row r="94" spans="1:3" x14ac:dyDescent="0.3">
      <c r="A94">
        <v>986</v>
      </c>
      <c r="B94" s="1">
        <v>292842</v>
      </c>
      <c r="C94" s="1">
        <v>46342</v>
      </c>
    </row>
    <row r="95" spans="1:3" x14ac:dyDescent="0.3">
      <c r="A95">
        <v>494</v>
      </c>
      <c r="B95" s="1">
        <v>146718</v>
      </c>
      <c r="C95" s="1">
        <v>23218</v>
      </c>
    </row>
    <row r="96" spans="1:3" x14ac:dyDescent="0.3">
      <c r="A96">
        <v>1397</v>
      </c>
      <c r="B96" s="1">
        <v>484060.5</v>
      </c>
      <c r="C96" s="1">
        <v>120840.5</v>
      </c>
    </row>
    <row r="97" spans="1:3" x14ac:dyDescent="0.3">
      <c r="A97">
        <v>1744</v>
      </c>
      <c r="B97" s="1">
        <v>215820</v>
      </c>
      <c r="C97" s="1">
        <v>6540</v>
      </c>
    </row>
    <row r="98" spans="1:3" x14ac:dyDescent="0.3">
      <c r="A98">
        <v>1989</v>
      </c>
      <c r="B98" s="1">
        <v>23629.32</v>
      </c>
      <c r="C98" s="1">
        <v>17662.32</v>
      </c>
    </row>
    <row r="99" spans="1:3" x14ac:dyDescent="0.3">
      <c r="A99">
        <v>321</v>
      </c>
      <c r="B99" s="1">
        <v>4766.8500000000004</v>
      </c>
      <c r="C99" s="1">
        <v>1556.8500000000004</v>
      </c>
    </row>
    <row r="100" spans="1:3" x14ac:dyDescent="0.3">
      <c r="A100">
        <v>742.5</v>
      </c>
      <c r="B100" s="1">
        <v>90956.25</v>
      </c>
      <c r="C100" s="1">
        <v>1856.25</v>
      </c>
    </row>
    <row r="101" spans="1:3" x14ac:dyDescent="0.3">
      <c r="A101">
        <v>1295</v>
      </c>
      <c r="B101" s="1">
        <v>15229.2</v>
      </c>
      <c r="C101" s="1">
        <v>11344.2</v>
      </c>
    </row>
    <row r="102" spans="1:3" x14ac:dyDescent="0.3">
      <c r="A102">
        <v>214</v>
      </c>
      <c r="B102" s="1">
        <v>62916</v>
      </c>
      <c r="C102" s="1">
        <v>9416</v>
      </c>
    </row>
    <row r="103" spans="1:3" x14ac:dyDescent="0.3">
      <c r="A103">
        <v>2145</v>
      </c>
      <c r="B103" s="1">
        <v>14714.7</v>
      </c>
      <c r="C103" s="1">
        <v>3989.7000000000007</v>
      </c>
    </row>
    <row r="104" spans="1:3" x14ac:dyDescent="0.3">
      <c r="A104">
        <v>2852</v>
      </c>
      <c r="B104" s="1">
        <v>978236</v>
      </c>
      <c r="C104" s="1">
        <v>236716</v>
      </c>
    </row>
    <row r="105" spans="1:3" x14ac:dyDescent="0.3">
      <c r="A105">
        <v>1142</v>
      </c>
      <c r="B105" s="1">
        <v>13429.92</v>
      </c>
      <c r="C105" s="1">
        <v>10003.92</v>
      </c>
    </row>
    <row r="106" spans="1:3" x14ac:dyDescent="0.3">
      <c r="A106">
        <v>1566</v>
      </c>
      <c r="B106" s="1">
        <v>30693.599999999999</v>
      </c>
      <c r="C106" s="1">
        <v>15033.599999999999</v>
      </c>
    </row>
    <row r="107" spans="1:3" x14ac:dyDescent="0.3">
      <c r="A107">
        <v>690</v>
      </c>
      <c r="B107" s="1">
        <v>8114.4</v>
      </c>
      <c r="C107" s="1">
        <v>6044.4</v>
      </c>
    </row>
    <row r="108" spans="1:3" x14ac:dyDescent="0.3">
      <c r="A108">
        <v>1660</v>
      </c>
      <c r="B108" s="1">
        <v>203350</v>
      </c>
      <c r="C108" s="1">
        <v>4150</v>
      </c>
    </row>
    <row r="109" spans="1:3" x14ac:dyDescent="0.3">
      <c r="A109">
        <v>2363</v>
      </c>
      <c r="B109" s="1">
        <v>34736.1</v>
      </c>
      <c r="C109" s="1">
        <v>11106.099999999999</v>
      </c>
    </row>
    <row r="110" spans="1:3" x14ac:dyDescent="0.3">
      <c r="A110">
        <v>918</v>
      </c>
      <c r="B110" s="1">
        <v>269892</v>
      </c>
      <c r="C110" s="1">
        <v>40392</v>
      </c>
    </row>
    <row r="111" spans="1:3" x14ac:dyDescent="0.3">
      <c r="A111">
        <v>1728</v>
      </c>
      <c r="B111" s="1">
        <v>508032</v>
      </c>
      <c r="C111" s="1">
        <v>76032</v>
      </c>
    </row>
    <row r="112" spans="1:3" x14ac:dyDescent="0.3">
      <c r="A112">
        <v>1142</v>
      </c>
      <c r="B112" s="1">
        <v>13429.92</v>
      </c>
      <c r="C112" s="1">
        <v>10003.92</v>
      </c>
    </row>
    <row r="113" spans="1:3" x14ac:dyDescent="0.3">
      <c r="A113">
        <v>662</v>
      </c>
      <c r="B113" s="1">
        <v>81095</v>
      </c>
      <c r="C113" s="1">
        <v>1655</v>
      </c>
    </row>
    <row r="114" spans="1:3" x14ac:dyDescent="0.3">
      <c r="A114">
        <v>1295</v>
      </c>
      <c r="B114" s="1">
        <v>15229.2</v>
      </c>
      <c r="C114" s="1">
        <v>11344.2</v>
      </c>
    </row>
    <row r="115" spans="1:3" x14ac:dyDescent="0.3">
      <c r="A115">
        <v>809</v>
      </c>
      <c r="B115" s="1">
        <v>99102.5</v>
      </c>
      <c r="C115" s="1">
        <v>2022.5</v>
      </c>
    </row>
    <row r="116" spans="1:3" x14ac:dyDescent="0.3">
      <c r="A116">
        <v>2145</v>
      </c>
      <c r="B116" s="1">
        <v>262762.5</v>
      </c>
      <c r="C116" s="1">
        <v>5362.5</v>
      </c>
    </row>
    <row r="117" spans="1:3" x14ac:dyDescent="0.3">
      <c r="A117">
        <v>1785</v>
      </c>
      <c r="B117" s="1">
        <v>20991.599999999999</v>
      </c>
      <c r="C117" s="1">
        <v>15636.599999999999</v>
      </c>
    </row>
    <row r="118" spans="1:3" x14ac:dyDescent="0.3">
      <c r="A118">
        <v>1916</v>
      </c>
      <c r="B118" s="1">
        <v>563304</v>
      </c>
      <c r="C118" s="1">
        <v>84304</v>
      </c>
    </row>
    <row r="119" spans="1:3" x14ac:dyDescent="0.3">
      <c r="A119">
        <v>2852</v>
      </c>
      <c r="B119" s="1">
        <v>978236</v>
      </c>
      <c r="C119" s="1">
        <v>236716</v>
      </c>
    </row>
    <row r="120" spans="1:3" x14ac:dyDescent="0.3">
      <c r="A120">
        <v>2729</v>
      </c>
      <c r="B120" s="1">
        <v>334302.5</v>
      </c>
      <c r="C120" s="1">
        <v>6822.5</v>
      </c>
    </row>
    <row r="121" spans="1:3" x14ac:dyDescent="0.3">
      <c r="A121">
        <v>1925</v>
      </c>
      <c r="B121" s="1">
        <v>28297.5</v>
      </c>
      <c r="C121" s="1">
        <v>9047.5</v>
      </c>
    </row>
    <row r="122" spans="1:3" x14ac:dyDescent="0.3">
      <c r="A122">
        <v>2013</v>
      </c>
      <c r="B122" s="1">
        <v>13809.18</v>
      </c>
      <c r="C122" s="1">
        <v>3744.1800000000003</v>
      </c>
    </row>
    <row r="123" spans="1:3" x14ac:dyDescent="0.3">
      <c r="A123">
        <v>1055</v>
      </c>
      <c r="B123" s="1">
        <v>12406.8</v>
      </c>
      <c r="C123" s="1">
        <v>9241.7999999999993</v>
      </c>
    </row>
    <row r="124" spans="1:3" x14ac:dyDescent="0.3">
      <c r="A124">
        <v>1084</v>
      </c>
      <c r="B124" s="1">
        <v>12747.84</v>
      </c>
      <c r="C124" s="1">
        <v>9495.84</v>
      </c>
    </row>
    <row r="125" spans="1:3" x14ac:dyDescent="0.3">
      <c r="A125">
        <v>1566</v>
      </c>
      <c r="B125" s="1">
        <v>30693.599999999999</v>
      </c>
      <c r="C125" s="1">
        <v>15033.599999999999</v>
      </c>
    </row>
    <row r="126" spans="1:3" x14ac:dyDescent="0.3">
      <c r="A126">
        <v>2966</v>
      </c>
      <c r="B126" s="1">
        <v>1017338</v>
      </c>
      <c r="C126" s="1">
        <v>246178</v>
      </c>
    </row>
    <row r="127" spans="1:3" x14ac:dyDescent="0.3">
      <c r="A127">
        <v>2877</v>
      </c>
      <c r="B127" s="1">
        <v>986811</v>
      </c>
      <c r="C127" s="1">
        <v>238791</v>
      </c>
    </row>
    <row r="128" spans="1:3" x14ac:dyDescent="0.3">
      <c r="A128">
        <v>809</v>
      </c>
      <c r="B128" s="1">
        <v>99102.5</v>
      </c>
      <c r="C128" s="1">
        <v>2022.5</v>
      </c>
    </row>
    <row r="129" spans="1:3" x14ac:dyDescent="0.3">
      <c r="A129">
        <v>2145</v>
      </c>
      <c r="B129" s="1">
        <v>262762.5</v>
      </c>
      <c r="C129" s="1">
        <v>5362.5</v>
      </c>
    </row>
    <row r="130" spans="1:3" x14ac:dyDescent="0.3">
      <c r="A130">
        <v>1055</v>
      </c>
      <c r="B130" s="1">
        <v>12406.8</v>
      </c>
      <c r="C130" s="1">
        <v>9241.7999999999993</v>
      </c>
    </row>
    <row r="131" spans="1:3" x14ac:dyDescent="0.3">
      <c r="A131">
        <v>544</v>
      </c>
      <c r="B131" s="1">
        <v>10662.4</v>
      </c>
      <c r="C131" s="1">
        <v>5222.3999999999996</v>
      </c>
    </row>
    <row r="132" spans="1:3" x14ac:dyDescent="0.3">
      <c r="A132">
        <v>1084</v>
      </c>
      <c r="B132" s="1">
        <v>12747.84</v>
      </c>
      <c r="C132" s="1">
        <v>9495.84</v>
      </c>
    </row>
    <row r="133" spans="1:3" x14ac:dyDescent="0.3">
      <c r="A133">
        <v>662</v>
      </c>
      <c r="B133" s="1">
        <v>81095</v>
      </c>
      <c r="C133" s="1">
        <v>1655</v>
      </c>
    </row>
    <row r="134" spans="1:3" x14ac:dyDescent="0.3">
      <c r="A134">
        <v>214</v>
      </c>
      <c r="B134" s="1">
        <v>62916</v>
      </c>
      <c r="C134" s="1">
        <v>9416</v>
      </c>
    </row>
    <row r="135" spans="1:3" x14ac:dyDescent="0.3">
      <c r="A135">
        <v>2877</v>
      </c>
      <c r="B135" s="1">
        <v>986811</v>
      </c>
      <c r="C135" s="1">
        <v>238791</v>
      </c>
    </row>
    <row r="136" spans="1:3" x14ac:dyDescent="0.3">
      <c r="A136">
        <v>2729</v>
      </c>
      <c r="B136" s="1">
        <v>334302.5</v>
      </c>
      <c r="C136" s="1">
        <v>6822.5</v>
      </c>
    </row>
    <row r="137" spans="1:3" x14ac:dyDescent="0.3">
      <c r="A137">
        <v>266</v>
      </c>
      <c r="B137" s="1">
        <v>91238</v>
      </c>
      <c r="C137" s="1">
        <v>22078</v>
      </c>
    </row>
    <row r="138" spans="1:3" x14ac:dyDescent="0.3">
      <c r="A138">
        <v>1940</v>
      </c>
      <c r="B138" s="1">
        <v>665420</v>
      </c>
      <c r="C138" s="1">
        <v>161020</v>
      </c>
    </row>
    <row r="139" spans="1:3" x14ac:dyDescent="0.3">
      <c r="A139">
        <v>259</v>
      </c>
      <c r="B139" s="1">
        <v>76146</v>
      </c>
      <c r="C139" s="1">
        <v>11396</v>
      </c>
    </row>
    <row r="140" spans="1:3" x14ac:dyDescent="0.3">
      <c r="A140">
        <v>1101</v>
      </c>
      <c r="B140" s="1">
        <v>323694</v>
      </c>
      <c r="C140" s="1">
        <v>48444</v>
      </c>
    </row>
    <row r="141" spans="1:3" x14ac:dyDescent="0.3">
      <c r="A141">
        <v>2276</v>
      </c>
      <c r="B141" s="1">
        <v>278810</v>
      </c>
      <c r="C141" s="1">
        <v>5690</v>
      </c>
    </row>
    <row r="142" spans="1:3" x14ac:dyDescent="0.3">
      <c r="A142">
        <v>2966</v>
      </c>
      <c r="B142" s="1">
        <v>1017338</v>
      </c>
      <c r="C142" s="1">
        <v>246178</v>
      </c>
    </row>
    <row r="143" spans="1:3" x14ac:dyDescent="0.3">
      <c r="A143">
        <v>1236</v>
      </c>
      <c r="B143" s="1">
        <v>24225.599999999999</v>
      </c>
      <c r="C143" s="1">
        <v>11865.599999999999</v>
      </c>
    </row>
    <row r="144" spans="1:3" x14ac:dyDescent="0.3">
      <c r="A144">
        <v>941</v>
      </c>
      <c r="B144" s="1">
        <v>18443.599999999999</v>
      </c>
      <c r="C144" s="1">
        <v>9033.5999999999985</v>
      </c>
    </row>
    <row r="145" spans="1:3" x14ac:dyDescent="0.3">
      <c r="A145">
        <v>1916</v>
      </c>
      <c r="B145" s="1">
        <v>563304</v>
      </c>
      <c r="C145" s="1">
        <v>84304</v>
      </c>
    </row>
    <row r="146" spans="1:3" x14ac:dyDescent="0.3">
      <c r="A146">
        <v>4243.5</v>
      </c>
      <c r="B146" s="1">
        <v>514524.375</v>
      </c>
      <c r="C146" s="1">
        <v>5304.375</v>
      </c>
    </row>
    <row r="147" spans="1:3" x14ac:dyDescent="0.3">
      <c r="A147">
        <v>2580</v>
      </c>
      <c r="B147" s="1">
        <v>50052</v>
      </c>
      <c r="C147" s="1">
        <v>24252</v>
      </c>
    </row>
    <row r="148" spans="1:3" x14ac:dyDescent="0.3">
      <c r="A148">
        <v>689</v>
      </c>
      <c r="B148" s="1">
        <v>200499</v>
      </c>
      <c r="C148" s="1">
        <v>28249</v>
      </c>
    </row>
    <row r="149" spans="1:3" x14ac:dyDescent="0.3">
      <c r="A149">
        <v>1947</v>
      </c>
      <c r="B149" s="1">
        <v>22663.08</v>
      </c>
      <c r="C149" s="1">
        <v>16822.080000000002</v>
      </c>
    </row>
    <row r="150" spans="1:3" x14ac:dyDescent="0.3">
      <c r="A150">
        <v>908</v>
      </c>
      <c r="B150" s="1">
        <v>10569.12</v>
      </c>
      <c r="C150" s="1">
        <v>7845.1200000000008</v>
      </c>
    </row>
    <row r="151" spans="1:3" x14ac:dyDescent="0.3">
      <c r="A151">
        <v>1958</v>
      </c>
      <c r="B151" s="1">
        <v>13294.82</v>
      </c>
      <c r="C151" s="1">
        <v>3504.8199999999997</v>
      </c>
    </row>
    <row r="152" spans="1:3" x14ac:dyDescent="0.3">
      <c r="A152">
        <v>1901</v>
      </c>
      <c r="B152" s="1">
        <v>22127.64</v>
      </c>
      <c r="C152" s="1">
        <v>16424.64</v>
      </c>
    </row>
    <row r="153" spans="1:3" x14ac:dyDescent="0.3">
      <c r="A153">
        <v>544</v>
      </c>
      <c r="B153" s="1">
        <v>3693.76</v>
      </c>
      <c r="C153" s="1">
        <v>973.76000000000022</v>
      </c>
    </row>
    <row r="154" spans="1:3" x14ac:dyDescent="0.3">
      <c r="A154">
        <v>1797</v>
      </c>
      <c r="B154" s="1">
        <v>610081.5</v>
      </c>
      <c r="C154" s="1">
        <v>142861.5</v>
      </c>
    </row>
    <row r="155" spans="1:3" x14ac:dyDescent="0.3">
      <c r="A155">
        <v>1287</v>
      </c>
      <c r="B155" s="1">
        <v>156048.75</v>
      </c>
      <c r="C155" s="1">
        <v>1608.75</v>
      </c>
    </row>
    <row r="156" spans="1:3" x14ac:dyDescent="0.3">
      <c r="A156">
        <v>1706</v>
      </c>
      <c r="B156" s="1">
        <v>206852.5</v>
      </c>
      <c r="C156" s="1">
        <v>2132.5</v>
      </c>
    </row>
    <row r="157" spans="1:3" x14ac:dyDescent="0.3">
      <c r="A157">
        <v>2434.5</v>
      </c>
      <c r="B157" s="1">
        <v>708439.5</v>
      </c>
      <c r="C157" s="1">
        <v>99814.5</v>
      </c>
    </row>
    <row r="158" spans="1:3" x14ac:dyDescent="0.3">
      <c r="A158">
        <v>1774</v>
      </c>
      <c r="B158" s="1">
        <v>215097.5</v>
      </c>
      <c r="C158" s="1">
        <v>2217.5</v>
      </c>
    </row>
    <row r="159" spans="1:3" x14ac:dyDescent="0.3">
      <c r="A159">
        <v>1901</v>
      </c>
      <c r="B159" s="1">
        <v>22127.64</v>
      </c>
      <c r="C159" s="1">
        <v>16424.64</v>
      </c>
    </row>
    <row r="160" spans="1:3" x14ac:dyDescent="0.3">
      <c r="A160">
        <v>689</v>
      </c>
      <c r="B160" s="1">
        <v>200499</v>
      </c>
      <c r="C160" s="1">
        <v>28249</v>
      </c>
    </row>
    <row r="161" spans="1:3" x14ac:dyDescent="0.3">
      <c r="A161">
        <v>1570</v>
      </c>
      <c r="B161" s="1">
        <v>190362.5</v>
      </c>
      <c r="C161" s="1">
        <v>1962.5</v>
      </c>
    </row>
    <row r="162" spans="1:3" x14ac:dyDescent="0.3">
      <c r="A162">
        <v>1369.5</v>
      </c>
      <c r="B162" s="1">
        <v>15940.98</v>
      </c>
      <c r="C162" s="1">
        <v>11832.48</v>
      </c>
    </row>
    <row r="163" spans="1:3" x14ac:dyDescent="0.3">
      <c r="A163">
        <v>2009</v>
      </c>
      <c r="B163" s="1">
        <v>243591.25</v>
      </c>
      <c r="C163" s="1">
        <v>2511.25</v>
      </c>
    </row>
    <row r="164" spans="1:3" x14ac:dyDescent="0.3">
      <c r="A164">
        <v>1945</v>
      </c>
      <c r="B164" s="1">
        <v>28299.75</v>
      </c>
      <c r="C164" s="1">
        <v>8849.75</v>
      </c>
    </row>
    <row r="165" spans="1:3" x14ac:dyDescent="0.3">
      <c r="A165">
        <v>1287</v>
      </c>
      <c r="B165" s="1">
        <v>156048.75</v>
      </c>
      <c r="C165" s="1">
        <v>1608.75</v>
      </c>
    </row>
    <row r="166" spans="1:3" x14ac:dyDescent="0.3">
      <c r="A166">
        <v>1706</v>
      </c>
      <c r="B166" s="1">
        <v>206852.5</v>
      </c>
      <c r="C166" s="1">
        <v>2132.5</v>
      </c>
    </row>
    <row r="167" spans="1:3" x14ac:dyDescent="0.3">
      <c r="A167">
        <v>2009</v>
      </c>
      <c r="B167" s="1">
        <v>243591.25</v>
      </c>
      <c r="C167" s="1">
        <v>2511.25</v>
      </c>
    </row>
    <row r="168" spans="1:3" x14ac:dyDescent="0.3">
      <c r="A168">
        <v>2844</v>
      </c>
      <c r="B168" s="1">
        <v>827604</v>
      </c>
      <c r="C168" s="1">
        <v>116604</v>
      </c>
    </row>
    <row r="169" spans="1:3" x14ac:dyDescent="0.3">
      <c r="A169">
        <v>1916</v>
      </c>
      <c r="B169" s="1">
        <v>22302.240000000002</v>
      </c>
      <c r="C169" s="1">
        <v>16554.240000000002</v>
      </c>
    </row>
    <row r="170" spans="1:3" x14ac:dyDescent="0.3">
      <c r="A170">
        <v>1570</v>
      </c>
      <c r="B170" s="1">
        <v>190362.5</v>
      </c>
      <c r="C170" s="1">
        <v>1962.5</v>
      </c>
    </row>
    <row r="171" spans="1:3" x14ac:dyDescent="0.3">
      <c r="A171">
        <v>1874</v>
      </c>
      <c r="B171" s="1">
        <v>545334</v>
      </c>
      <c r="C171" s="1">
        <v>76834</v>
      </c>
    </row>
    <row r="172" spans="1:3" x14ac:dyDescent="0.3">
      <c r="A172">
        <v>1642</v>
      </c>
      <c r="B172" s="1">
        <v>557459</v>
      </c>
      <c r="C172" s="1">
        <v>130539</v>
      </c>
    </row>
    <row r="173" spans="1:3" x14ac:dyDescent="0.3">
      <c r="A173">
        <v>1945</v>
      </c>
      <c r="B173" s="1">
        <v>28299.75</v>
      </c>
      <c r="C173" s="1">
        <v>8849.75</v>
      </c>
    </row>
    <row r="174" spans="1:3" x14ac:dyDescent="0.3">
      <c r="A174">
        <v>831</v>
      </c>
      <c r="B174" s="1">
        <v>16121.4</v>
      </c>
      <c r="C174" s="1">
        <v>7811.4</v>
      </c>
    </row>
    <row r="175" spans="1:3" x14ac:dyDescent="0.3">
      <c r="A175">
        <v>1760</v>
      </c>
      <c r="B175" s="1">
        <v>11950.4</v>
      </c>
      <c r="C175" s="1">
        <v>3150.3999999999996</v>
      </c>
    </row>
    <row r="176" spans="1:3" x14ac:dyDescent="0.3">
      <c r="A176">
        <v>3850.5</v>
      </c>
      <c r="B176" s="1">
        <v>74699.700000000012</v>
      </c>
      <c r="C176" s="1">
        <v>36194.700000000004</v>
      </c>
    </row>
    <row r="177" spans="1:3" x14ac:dyDescent="0.3">
      <c r="A177">
        <v>2479</v>
      </c>
      <c r="B177" s="1">
        <v>28855.56</v>
      </c>
      <c r="C177" s="1">
        <v>21418.560000000001</v>
      </c>
    </row>
    <row r="178" spans="1:3" x14ac:dyDescent="0.3">
      <c r="A178">
        <v>2031</v>
      </c>
      <c r="B178" s="1">
        <v>29246.400000000001</v>
      </c>
      <c r="C178" s="1">
        <v>8936.4000000000015</v>
      </c>
    </row>
    <row r="179" spans="1:3" x14ac:dyDescent="0.3">
      <c r="A179">
        <v>2031</v>
      </c>
      <c r="B179" s="1">
        <v>29246.400000000001</v>
      </c>
      <c r="C179" s="1">
        <v>8936.4000000000015</v>
      </c>
    </row>
    <row r="180" spans="1:3" x14ac:dyDescent="0.3">
      <c r="A180">
        <v>2261</v>
      </c>
      <c r="B180" s="1">
        <v>32558.400000000001</v>
      </c>
      <c r="C180" s="1">
        <v>9948.4000000000015</v>
      </c>
    </row>
    <row r="181" spans="1:3" x14ac:dyDescent="0.3">
      <c r="A181">
        <v>736</v>
      </c>
      <c r="B181" s="1">
        <v>14131.2</v>
      </c>
      <c r="C181" s="1">
        <v>6771.2000000000007</v>
      </c>
    </row>
    <row r="182" spans="1:3" x14ac:dyDescent="0.3">
      <c r="A182">
        <v>2851</v>
      </c>
      <c r="B182" s="1">
        <v>19158.72</v>
      </c>
      <c r="C182" s="1">
        <v>4903.7200000000012</v>
      </c>
    </row>
    <row r="183" spans="1:3" x14ac:dyDescent="0.3">
      <c r="A183">
        <v>2021</v>
      </c>
      <c r="B183" s="1">
        <v>582048</v>
      </c>
      <c r="C183" s="1">
        <v>76798</v>
      </c>
    </row>
    <row r="184" spans="1:3" x14ac:dyDescent="0.3">
      <c r="A184">
        <v>274</v>
      </c>
      <c r="B184" s="1">
        <v>92064</v>
      </c>
      <c r="C184" s="1">
        <v>20824</v>
      </c>
    </row>
    <row r="185" spans="1:3" x14ac:dyDescent="0.3">
      <c r="A185">
        <v>1967</v>
      </c>
      <c r="B185" s="1">
        <v>28324.799999999999</v>
      </c>
      <c r="C185" s="1">
        <v>8654.7999999999993</v>
      </c>
    </row>
    <row r="186" spans="1:3" x14ac:dyDescent="0.3">
      <c r="A186">
        <v>1859</v>
      </c>
      <c r="B186" s="1">
        <v>535392</v>
      </c>
      <c r="C186" s="1">
        <v>70642</v>
      </c>
    </row>
    <row r="187" spans="1:3" x14ac:dyDescent="0.3">
      <c r="A187">
        <v>2851</v>
      </c>
      <c r="B187" s="1">
        <v>19158.72</v>
      </c>
      <c r="C187" s="1">
        <v>4903.7200000000012</v>
      </c>
    </row>
    <row r="188" spans="1:3" x14ac:dyDescent="0.3">
      <c r="A188">
        <v>2021</v>
      </c>
      <c r="B188" s="1">
        <v>582048</v>
      </c>
      <c r="C188" s="1">
        <v>76798</v>
      </c>
    </row>
    <row r="189" spans="1:3" x14ac:dyDescent="0.3">
      <c r="A189">
        <v>1138</v>
      </c>
      <c r="B189" s="1">
        <v>136560</v>
      </c>
      <c r="C189" s="1">
        <v>0</v>
      </c>
    </row>
    <row r="190" spans="1:3" x14ac:dyDescent="0.3">
      <c r="A190">
        <v>4251</v>
      </c>
      <c r="B190" s="1">
        <v>28566.720000000001</v>
      </c>
      <c r="C190" s="1">
        <v>7311.7199999999993</v>
      </c>
    </row>
    <row r="191" spans="1:3" x14ac:dyDescent="0.3">
      <c r="A191">
        <v>795</v>
      </c>
      <c r="B191" s="1">
        <v>95400</v>
      </c>
      <c r="C191" s="1">
        <v>0</v>
      </c>
    </row>
    <row r="192" spans="1:3" x14ac:dyDescent="0.3">
      <c r="A192">
        <v>1414.5</v>
      </c>
      <c r="B192" s="1">
        <v>407376</v>
      </c>
      <c r="C192" s="1">
        <v>53751</v>
      </c>
    </row>
    <row r="193" spans="1:3" x14ac:dyDescent="0.3">
      <c r="A193">
        <v>2918</v>
      </c>
      <c r="B193" s="1">
        <v>840384</v>
      </c>
      <c r="C193" s="1">
        <v>110884</v>
      </c>
    </row>
    <row r="194" spans="1:3" x14ac:dyDescent="0.3">
      <c r="A194">
        <v>3450</v>
      </c>
      <c r="B194" s="1">
        <v>1159200</v>
      </c>
      <c r="C194" s="1">
        <v>262200</v>
      </c>
    </row>
    <row r="195" spans="1:3" x14ac:dyDescent="0.3">
      <c r="A195">
        <v>2988</v>
      </c>
      <c r="B195" s="1">
        <v>358560</v>
      </c>
      <c r="C195" s="1">
        <v>0</v>
      </c>
    </row>
    <row r="196" spans="1:3" x14ac:dyDescent="0.3">
      <c r="A196">
        <v>218</v>
      </c>
      <c r="B196" s="1">
        <v>3139.2</v>
      </c>
      <c r="C196" s="1">
        <v>959.19999999999982</v>
      </c>
    </row>
    <row r="197" spans="1:3" x14ac:dyDescent="0.3">
      <c r="A197">
        <v>2074</v>
      </c>
      <c r="B197" s="1">
        <v>39820.800000000003</v>
      </c>
      <c r="C197" s="1">
        <v>19080.800000000003</v>
      </c>
    </row>
    <row r="198" spans="1:3" x14ac:dyDescent="0.3">
      <c r="A198">
        <v>1056</v>
      </c>
      <c r="B198" s="1">
        <v>20275.2</v>
      </c>
      <c r="C198" s="1">
        <v>9715.2000000000007</v>
      </c>
    </row>
    <row r="199" spans="1:3" x14ac:dyDescent="0.3">
      <c r="A199">
        <v>671</v>
      </c>
      <c r="B199" s="1">
        <v>9662.4</v>
      </c>
      <c r="C199" s="1">
        <v>2952.3999999999996</v>
      </c>
    </row>
    <row r="200" spans="1:3" x14ac:dyDescent="0.3">
      <c r="A200">
        <v>1514</v>
      </c>
      <c r="B200" s="1">
        <v>21801.599999999999</v>
      </c>
      <c r="C200" s="1">
        <v>6661.5999999999985</v>
      </c>
    </row>
    <row r="201" spans="1:3" x14ac:dyDescent="0.3">
      <c r="A201">
        <v>274</v>
      </c>
      <c r="B201" s="1">
        <v>92064</v>
      </c>
      <c r="C201" s="1">
        <v>20824</v>
      </c>
    </row>
    <row r="202" spans="1:3" x14ac:dyDescent="0.3">
      <c r="A202">
        <v>1138</v>
      </c>
      <c r="B202" s="1">
        <v>136560</v>
      </c>
      <c r="C202" s="1">
        <v>0</v>
      </c>
    </row>
    <row r="203" spans="1:3" x14ac:dyDescent="0.3">
      <c r="A203">
        <v>1465</v>
      </c>
      <c r="B203" s="1">
        <v>16876.8</v>
      </c>
      <c r="C203" s="1">
        <v>12481.8</v>
      </c>
    </row>
    <row r="204" spans="1:3" x14ac:dyDescent="0.3">
      <c r="A204">
        <v>2646</v>
      </c>
      <c r="B204" s="1">
        <v>50803.199999999997</v>
      </c>
      <c r="C204" s="1">
        <v>24343.199999999997</v>
      </c>
    </row>
    <row r="205" spans="1:3" x14ac:dyDescent="0.3">
      <c r="A205">
        <v>2177</v>
      </c>
      <c r="B205" s="1">
        <v>731472</v>
      </c>
      <c r="C205" s="1">
        <v>165452</v>
      </c>
    </row>
    <row r="206" spans="1:3" x14ac:dyDescent="0.3">
      <c r="A206">
        <v>866</v>
      </c>
      <c r="B206" s="1">
        <v>9976.32</v>
      </c>
      <c r="C206" s="1">
        <v>7378.32</v>
      </c>
    </row>
    <row r="207" spans="1:3" x14ac:dyDescent="0.3">
      <c r="A207">
        <v>349</v>
      </c>
      <c r="B207" s="1">
        <v>117264</v>
      </c>
      <c r="C207" s="1">
        <v>26524</v>
      </c>
    </row>
    <row r="208" spans="1:3" x14ac:dyDescent="0.3">
      <c r="A208">
        <v>2177</v>
      </c>
      <c r="B208" s="1">
        <v>731472</v>
      </c>
      <c r="C208" s="1">
        <v>165452</v>
      </c>
    </row>
    <row r="209" spans="1:3" x14ac:dyDescent="0.3">
      <c r="A209">
        <v>1514</v>
      </c>
      <c r="B209" s="1">
        <v>21801.599999999999</v>
      </c>
      <c r="C209" s="1">
        <v>6661.5999999999985</v>
      </c>
    </row>
    <row r="210" spans="1:3" x14ac:dyDescent="0.3">
      <c r="A210">
        <v>1865</v>
      </c>
      <c r="B210" s="1">
        <v>626640</v>
      </c>
      <c r="C210" s="1">
        <v>141740</v>
      </c>
    </row>
    <row r="211" spans="1:3" x14ac:dyDescent="0.3">
      <c r="A211">
        <v>1074</v>
      </c>
      <c r="B211" s="1">
        <v>128880</v>
      </c>
      <c r="C211" s="1">
        <v>0</v>
      </c>
    </row>
    <row r="212" spans="1:3" x14ac:dyDescent="0.3">
      <c r="A212">
        <v>1907</v>
      </c>
      <c r="B212" s="1">
        <v>640752</v>
      </c>
      <c r="C212" s="1">
        <v>144932</v>
      </c>
    </row>
    <row r="213" spans="1:3" x14ac:dyDescent="0.3">
      <c r="A213">
        <v>671</v>
      </c>
      <c r="B213" s="1">
        <v>9662.4</v>
      </c>
      <c r="C213" s="1">
        <v>2952.3999999999996</v>
      </c>
    </row>
    <row r="214" spans="1:3" x14ac:dyDescent="0.3">
      <c r="A214">
        <v>1778</v>
      </c>
      <c r="B214" s="1">
        <v>597408</v>
      </c>
      <c r="C214" s="1">
        <v>135128</v>
      </c>
    </row>
    <row r="215" spans="1:3" x14ac:dyDescent="0.3">
      <c r="A215">
        <v>1159</v>
      </c>
      <c r="B215" s="1">
        <v>7707.35</v>
      </c>
      <c r="C215" s="1">
        <v>1912.3500000000004</v>
      </c>
    </row>
    <row r="216" spans="1:3" x14ac:dyDescent="0.3">
      <c r="A216">
        <v>1372</v>
      </c>
      <c r="B216" s="1">
        <v>9123.7999999999993</v>
      </c>
      <c r="C216" s="1">
        <v>2263.7999999999993</v>
      </c>
    </row>
    <row r="217" spans="1:3" x14ac:dyDescent="0.3">
      <c r="A217">
        <v>2349</v>
      </c>
      <c r="B217" s="1">
        <v>15620.85</v>
      </c>
      <c r="C217" s="1">
        <v>3875.8500000000004</v>
      </c>
    </row>
    <row r="218" spans="1:3" x14ac:dyDescent="0.3">
      <c r="A218">
        <v>2689</v>
      </c>
      <c r="B218" s="1">
        <v>17881.849999999999</v>
      </c>
      <c r="C218" s="1">
        <v>4436.8499999999985</v>
      </c>
    </row>
    <row r="219" spans="1:3" x14ac:dyDescent="0.3">
      <c r="A219">
        <v>2431</v>
      </c>
      <c r="B219" s="1">
        <v>27713.4</v>
      </c>
      <c r="C219" s="1">
        <v>20420.400000000001</v>
      </c>
    </row>
    <row r="220" spans="1:3" x14ac:dyDescent="0.3">
      <c r="A220">
        <v>2431</v>
      </c>
      <c r="B220" s="1">
        <v>27713.4</v>
      </c>
      <c r="C220" s="1">
        <v>20420.400000000001</v>
      </c>
    </row>
    <row r="221" spans="1:3" x14ac:dyDescent="0.3">
      <c r="A221">
        <v>2689</v>
      </c>
      <c r="B221" s="1">
        <v>17881.849999999999</v>
      </c>
      <c r="C221" s="1">
        <v>4436.8499999999985</v>
      </c>
    </row>
    <row r="222" spans="1:3" x14ac:dyDescent="0.3">
      <c r="A222">
        <v>1683</v>
      </c>
      <c r="B222" s="1">
        <v>11191.95</v>
      </c>
      <c r="C222" s="1">
        <v>2776.9500000000007</v>
      </c>
    </row>
    <row r="223" spans="1:3" x14ac:dyDescent="0.3">
      <c r="A223">
        <v>1123</v>
      </c>
      <c r="B223" s="1">
        <v>12802.2</v>
      </c>
      <c r="C223" s="1">
        <v>9433.2000000000007</v>
      </c>
    </row>
    <row r="224" spans="1:3" x14ac:dyDescent="0.3">
      <c r="A224">
        <v>1159</v>
      </c>
      <c r="B224" s="1">
        <v>7707.35</v>
      </c>
      <c r="C224" s="1">
        <v>1912.3500000000004</v>
      </c>
    </row>
    <row r="225" spans="1:3" x14ac:dyDescent="0.3">
      <c r="A225">
        <v>1865</v>
      </c>
      <c r="B225" s="1">
        <v>21261</v>
      </c>
      <c r="C225" s="1">
        <v>15666</v>
      </c>
    </row>
    <row r="226" spans="1:3" x14ac:dyDescent="0.3">
      <c r="A226">
        <v>1116</v>
      </c>
      <c r="B226" s="1">
        <v>12722.4</v>
      </c>
      <c r="C226" s="1">
        <v>9374.4</v>
      </c>
    </row>
    <row r="227" spans="1:3" x14ac:dyDescent="0.3">
      <c r="A227">
        <v>1563</v>
      </c>
      <c r="B227" s="1">
        <v>29697</v>
      </c>
      <c r="C227" s="1">
        <v>14067</v>
      </c>
    </row>
    <row r="228" spans="1:3" x14ac:dyDescent="0.3">
      <c r="A228">
        <v>991</v>
      </c>
      <c r="B228" s="1">
        <v>282435</v>
      </c>
      <c r="C228" s="1">
        <v>34685</v>
      </c>
    </row>
    <row r="229" spans="1:3" x14ac:dyDescent="0.3">
      <c r="A229">
        <v>1016</v>
      </c>
      <c r="B229" s="1">
        <v>6756.4</v>
      </c>
      <c r="C229" s="1">
        <v>1676.3999999999996</v>
      </c>
    </row>
    <row r="230" spans="1:3" x14ac:dyDescent="0.3">
      <c r="A230">
        <v>2791</v>
      </c>
      <c r="B230" s="1">
        <v>39771.75</v>
      </c>
      <c r="C230" s="1">
        <v>11861.75</v>
      </c>
    </row>
    <row r="231" spans="1:3" x14ac:dyDescent="0.3">
      <c r="A231">
        <v>570</v>
      </c>
      <c r="B231" s="1">
        <v>3790.5</v>
      </c>
      <c r="C231" s="1">
        <v>940.5</v>
      </c>
    </row>
    <row r="232" spans="1:3" x14ac:dyDescent="0.3">
      <c r="A232">
        <v>2487</v>
      </c>
      <c r="B232" s="1">
        <v>16538.55</v>
      </c>
      <c r="C232" s="1">
        <v>4103.5499999999993</v>
      </c>
    </row>
    <row r="233" spans="1:3" x14ac:dyDescent="0.3">
      <c r="A233">
        <v>1384.5</v>
      </c>
      <c r="B233" s="1">
        <v>460346.25</v>
      </c>
      <c r="C233" s="1">
        <v>100376.25</v>
      </c>
    </row>
    <row r="234" spans="1:3" x14ac:dyDescent="0.3">
      <c r="A234">
        <v>3627</v>
      </c>
      <c r="B234" s="1">
        <v>430706.25</v>
      </c>
      <c r="C234" s="1">
        <v>-4533.75</v>
      </c>
    </row>
    <row r="235" spans="1:3" x14ac:dyDescent="0.3">
      <c r="A235">
        <v>720</v>
      </c>
      <c r="B235" s="1">
        <v>239400</v>
      </c>
      <c r="C235" s="1">
        <v>52200</v>
      </c>
    </row>
    <row r="236" spans="1:3" x14ac:dyDescent="0.3">
      <c r="A236">
        <v>2342</v>
      </c>
      <c r="B236" s="1">
        <v>26698.799999999999</v>
      </c>
      <c r="C236" s="1">
        <v>19672.8</v>
      </c>
    </row>
    <row r="237" spans="1:3" x14ac:dyDescent="0.3">
      <c r="A237">
        <v>1100</v>
      </c>
      <c r="B237" s="1">
        <v>313500</v>
      </c>
      <c r="C237" s="1">
        <v>38500</v>
      </c>
    </row>
    <row r="238" spans="1:3" x14ac:dyDescent="0.3">
      <c r="A238">
        <v>1303</v>
      </c>
      <c r="B238" s="1">
        <v>24757</v>
      </c>
      <c r="C238" s="1">
        <v>11727</v>
      </c>
    </row>
    <row r="239" spans="1:3" x14ac:dyDescent="0.3">
      <c r="A239">
        <v>2992</v>
      </c>
      <c r="B239" s="1">
        <v>355300</v>
      </c>
      <c r="C239" s="1">
        <v>-3740</v>
      </c>
    </row>
    <row r="240" spans="1:3" x14ac:dyDescent="0.3">
      <c r="A240">
        <v>2385</v>
      </c>
      <c r="B240" s="1">
        <v>283218.75</v>
      </c>
      <c r="C240" s="1">
        <v>-2981.25</v>
      </c>
    </row>
    <row r="241" spans="1:3" x14ac:dyDescent="0.3">
      <c r="A241">
        <v>1607</v>
      </c>
      <c r="B241" s="1">
        <v>457995</v>
      </c>
      <c r="C241" s="1">
        <v>56245</v>
      </c>
    </row>
    <row r="242" spans="1:3" x14ac:dyDescent="0.3">
      <c r="A242">
        <v>2327</v>
      </c>
      <c r="B242" s="1">
        <v>15474.55</v>
      </c>
      <c r="C242" s="1">
        <v>3839.5499999999993</v>
      </c>
    </row>
    <row r="243" spans="1:3" x14ac:dyDescent="0.3">
      <c r="A243">
        <v>991</v>
      </c>
      <c r="B243" s="1">
        <v>282435</v>
      </c>
      <c r="C243" s="1">
        <v>34685</v>
      </c>
    </row>
    <row r="244" spans="1:3" x14ac:dyDescent="0.3">
      <c r="A244">
        <v>602</v>
      </c>
      <c r="B244" s="1">
        <v>200165</v>
      </c>
      <c r="C244" s="1">
        <v>43645</v>
      </c>
    </row>
    <row r="245" spans="1:3" x14ac:dyDescent="0.3">
      <c r="A245">
        <v>2620</v>
      </c>
      <c r="B245" s="1">
        <v>37335</v>
      </c>
      <c r="C245" s="1">
        <v>11135</v>
      </c>
    </row>
    <row r="246" spans="1:3" x14ac:dyDescent="0.3">
      <c r="A246">
        <v>1228</v>
      </c>
      <c r="B246" s="1">
        <v>408310</v>
      </c>
      <c r="C246" s="1">
        <v>89030</v>
      </c>
    </row>
    <row r="247" spans="1:3" x14ac:dyDescent="0.3">
      <c r="A247">
        <v>1389</v>
      </c>
      <c r="B247" s="1">
        <v>26391</v>
      </c>
      <c r="C247" s="1">
        <v>12501</v>
      </c>
    </row>
    <row r="248" spans="1:3" x14ac:dyDescent="0.3">
      <c r="A248">
        <v>861</v>
      </c>
      <c r="B248" s="1">
        <v>102243.75</v>
      </c>
      <c r="C248" s="1">
        <v>-1076.25</v>
      </c>
    </row>
    <row r="249" spans="1:3" x14ac:dyDescent="0.3">
      <c r="A249">
        <v>704</v>
      </c>
      <c r="B249" s="1">
        <v>83600</v>
      </c>
      <c r="C249" s="1">
        <v>-880</v>
      </c>
    </row>
    <row r="250" spans="1:3" x14ac:dyDescent="0.3">
      <c r="A250">
        <v>1802</v>
      </c>
      <c r="B250" s="1">
        <v>34238</v>
      </c>
      <c r="C250" s="1">
        <v>16218</v>
      </c>
    </row>
    <row r="251" spans="1:3" x14ac:dyDescent="0.3">
      <c r="A251">
        <v>2663</v>
      </c>
      <c r="B251" s="1">
        <v>50597</v>
      </c>
      <c r="C251" s="1">
        <v>23967</v>
      </c>
    </row>
    <row r="252" spans="1:3" x14ac:dyDescent="0.3">
      <c r="A252">
        <v>2136</v>
      </c>
      <c r="B252" s="1">
        <v>14204.4</v>
      </c>
      <c r="C252" s="1">
        <v>3524.3999999999996</v>
      </c>
    </row>
    <row r="253" spans="1:3" x14ac:dyDescent="0.3">
      <c r="A253">
        <v>2116</v>
      </c>
      <c r="B253" s="1">
        <v>30153</v>
      </c>
      <c r="C253" s="1">
        <v>8993</v>
      </c>
    </row>
    <row r="254" spans="1:3" x14ac:dyDescent="0.3">
      <c r="A254">
        <v>555</v>
      </c>
      <c r="B254" s="1">
        <v>7908.75</v>
      </c>
      <c r="C254" s="1">
        <v>2358.75</v>
      </c>
    </row>
    <row r="255" spans="1:3" x14ac:dyDescent="0.3">
      <c r="A255">
        <v>2861</v>
      </c>
      <c r="B255" s="1">
        <v>40769.25</v>
      </c>
      <c r="C255" s="1">
        <v>12159.25</v>
      </c>
    </row>
    <row r="256" spans="1:3" x14ac:dyDescent="0.3">
      <c r="A256">
        <v>807</v>
      </c>
      <c r="B256" s="1">
        <v>95831.25</v>
      </c>
      <c r="C256" s="1">
        <v>-1008.75</v>
      </c>
    </row>
    <row r="257" spans="1:3" x14ac:dyDescent="0.3">
      <c r="A257">
        <v>602</v>
      </c>
      <c r="B257" s="1">
        <v>200165</v>
      </c>
      <c r="C257" s="1">
        <v>43645</v>
      </c>
    </row>
    <row r="258" spans="1:3" x14ac:dyDescent="0.3">
      <c r="A258">
        <v>2832</v>
      </c>
      <c r="B258" s="1">
        <v>53808</v>
      </c>
      <c r="C258" s="1">
        <v>25488</v>
      </c>
    </row>
    <row r="259" spans="1:3" x14ac:dyDescent="0.3">
      <c r="A259">
        <v>1579</v>
      </c>
      <c r="B259" s="1">
        <v>30001</v>
      </c>
      <c r="C259" s="1">
        <v>14211</v>
      </c>
    </row>
    <row r="260" spans="1:3" x14ac:dyDescent="0.3">
      <c r="A260">
        <v>861</v>
      </c>
      <c r="B260" s="1">
        <v>102243.75</v>
      </c>
      <c r="C260" s="1">
        <v>-1076.25</v>
      </c>
    </row>
    <row r="261" spans="1:3" x14ac:dyDescent="0.3">
      <c r="A261">
        <v>704</v>
      </c>
      <c r="B261" s="1">
        <v>83600</v>
      </c>
      <c r="C261" s="1">
        <v>-880</v>
      </c>
    </row>
    <row r="262" spans="1:3" x14ac:dyDescent="0.3">
      <c r="A262">
        <v>1033</v>
      </c>
      <c r="B262" s="1">
        <v>19627</v>
      </c>
      <c r="C262" s="1">
        <v>9297</v>
      </c>
    </row>
    <row r="263" spans="1:3" x14ac:dyDescent="0.3">
      <c r="A263">
        <v>1250</v>
      </c>
      <c r="B263" s="1">
        <v>356250</v>
      </c>
      <c r="C263" s="1">
        <v>43750</v>
      </c>
    </row>
    <row r="264" spans="1:3" x14ac:dyDescent="0.3">
      <c r="A264">
        <v>1389</v>
      </c>
      <c r="B264" s="1">
        <v>26391</v>
      </c>
      <c r="C264" s="1">
        <v>12501</v>
      </c>
    </row>
    <row r="265" spans="1:3" x14ac:dyDescent="0.3">
      <c r="A265">
        <v>1265</v>
      </c>
      <c r="B265" s="1">
        <v>24035</v>
      </c>
      <c r="C265" s="1">
        <v>11385</v>
      </c>
    </row>
    <row r="266" spans="1:3" x14ac:dyDescent="0.3">
      <c r="A266">
        <v>2297</v>
      </c>
      <c r="B266" s="1">
        <v>43643</v>
      </c>
      <c r="C266" s="1">
        <v>20673</v>
      </c>
    </row>
    <row r="267" spans="1:3" x14ac:dyDescent="0.3">
      <c r="A267">
        <v>2663</v>
      </c>
      <c r="B267" s="1">
        <v>50597</v>
      </c>
      <c r="C267" s="1">
        <v>23967</v>
      </c>
    </row>
    <row r="268" spans="1:3" x14ac:dyDescent="0.3">
      <c r="A268">
        <v>570</v>
      </c>
      <c r="B268" s="1">
        <v>3790.5</v>
      </c>
      <c r="C268" s="1">
        <v>940.5</v>
      </c>
    </row>
    <row r="269" spans="1:3" x14ac:dyDescent="0.3">
      <c r="A269">
        <v>2487</v>
      </c>
      <c r="B269" s="1">
        <v>16538.55</v>
      </c>
      <c r="C269" s="1">
        <v>4103.5499999999993</v>
      </c>
    </row>
    <row r="270" spans="1:3" x14ac:dyDescent="0.3">
      <c r="A270">
        <v>1350</v>
      </c>
      <c r="B270" s="1">
        <v>448875</v>
      </c>
      <c r="C270" s="1">
        <v>97875</v>
      </c>
    </row>
    <row r="271" spans="1:3" x14ac:dyDescent="0.3">
      <c r="A271">
        <v>552</v>
      </c>
      <c r="B271" s="1">
        <v>183540</v>
      </c>
      <c r="C271" s="1">
        <v>40020</v>
      </c>
    </row>
    <row r="272" spans="1:3" x14ac:dyDescent="0.3">
      <c r="A272">
        <v>1228</v>
      </c>
      <c r="B272" s="1">
        <v>408310</v>
      </c>
      <c r="C272" s="1">
        <v>89030</v>
      </c>
    </row>
    <row r="273" spans="1:3" x14ac:dyDescent="0.3">
      <c r="A273">
        <v>1250</v>
      </c>
      <c r="B273" s="1">
        <v>356250</v>
      </c>
      <c r="C273" s="1">
        <v>43750</v>
      </c>
    </row>
    <row r="274" spans="1:3" x14ac:dyDescent="0.3">
      <c r="A274">
        <v>3801</v>
      </c>
      <c r="B274" s="1">
        <v>53594.100000000006</v>
      </c>
      <c r="C274" s="1">
        <v>15584.100000000002</v>
      </c>
    </row>
    <row r="275" spans="1:3" x14ac:dyDescent="0.3">
      <c r="A275">
        <v>1117.5</v>
      </c>
      <c r="B275" s="1">
        <v>21009</v>
      </c>
      <c r="C275" s="1">
        <v>9834</v>
      </c>
    </row>
    <row r="276" spans="1:3" x14ac:dyDescent="0.3">
      <c r="A276">
        <v>2844</v>
      </c>
      <c r="B276" s="1">
        <v>40100.400000000001</v>
      </c>
      <c r="C276" s="1">
        <v>11660.400000000001</v>
      </c>
    </row>
    <row r="277" spans="1:3" x14ac:dyDescent="0.3">
      <c r="A277">
        <v>562</v>
      </c>
      <c r="B277" s="1">
        <v>6339.36</v>
      </c>
      <c r="C277" s="1">
        <v>4653.3599999999997</v>
      </c>
    </row>
    <row r="278" spans="1:3" x14ac:dyDescent="0.3">
      <c r="A278">
        <v>2299</v>
      </c>
      <c r="B278" s="1">
        <v>25932.720000000001</v>
      </c>
      <c r="C278" s="1">
        <v>19035.72</v>
      </c>
    </row>
    <row r="279" spans="1:3" x14ac:dyDescent="0.3">
      <c r="A279">
        <v>2030</v>
      </c>
      <c r="B279" s="1">
        <v>28623</v>
      </c>
      <c r="C279" s="1">
        <v>8323</v>
      </c>
    </row>
    <row r="280" spans="1:3" x14ac:dyDescent="0.3">
      <c r="A280">
        <v>263</v>
      </c>
      <c r="B280" s="1">
        <v>1730.54</v>
      </c>
      <c r="C280" s="1">
        <v>415.53999999999996</v>
      </c>
    </row>
    <row r="281" spans="1:3" x14ac:dyDescent="0.3">
      <c r="A281">
        <v>887</v>
      </c>
      <c r="B281" s="1">
        <v>104222.5</v>
      </c>
      <c r="C281" s="1">
        <v>-2217.5</v>
      </c>
    </row>
    <row r="282" spans="1:3" x14ac:dyDescent="0.3">
      <c r="A282">
        <v>980</v>
      </c>
      <c r="B282" s="1">
        <v>322420</v>
      </c>
      <c r="C282" s="1">
        <v>67620</v>
      </c>
    </row>
    <row r="283" spans="1:3" x14ac:dyDescent="0.3">
      <c r="A283">
        <v>1460</v>
      </c>
      <c r="B283" s="1">
        <v>480340</v>
      </c>
      <c r="C283" s="1">
        <v>100740</v>
      </c>
    </row>
    <row r="284" spans="1:3" x14ac:dyDescent="0.3">
      <c r="A284">
        <v>1403</v>
      </c>
      <c r="B284" s="1">
        <v>9231.74</v>
      </c>
      <c r="C284" s="1">
        <v>2216.7399999999998</v>
      </c>
    </row>
    <row r="285" spans="1:3" x14ac:dyDescent="0.3">
      <c r="A285">
        <v>2723</v>
      </c>
      <c r="B285" s="1">
        <v>30715.439999999999</v>
      </c>
      <c r="C285" s="1">
        <v>22546.44</v>
      </c>
    </row>
    <row r="286" spans="1:3" x14ac:dyDescent="0.3">
      <c r="A286">
        <v>1496</v>
      </c>
      <c r="B286" s="1">
        <v>492184</v>
      </c>
      <c r="C286" s="1">
        <v>103224</v>
      </c>
    </row>
    <row r="287" spans="1:3" x14ac:dyDescent="0.3">
      <c r="A287">
        <v>2299</v>
      </c>
      <c r="B287" s="1">
        <v>25932.720000000001</v>
      </c>
      <c r="C287" s="1">
        <v>19035.72</v>
      </c>
    </row>
    <row r="288" spans="1:3" x14ac:dyDescent="0.3">
      <c r="A288">
        <v>727</v>
      </c>
      <c r="B288" s="1">
        <v>239183</v>
      </c>
      <c r="C288" s="1">
        <v>50163</v>
      </c>
    </row>
    <row r="289" spans="1:3" x14ac:dyDescent="0.3">
      <c r="A289">
        <v>952</v>
      </c>
      <c r="B289" s="1">
        <v>111860</v>
      </c>
      <c r="C289" s="1">
        <v>-2380</v>
      </c>
    </row>
    <row r="290" spans="1:3" x14ac:dyDescent="0.3">
      <c r="A290">
        <v>2755</v>
      </c>
      <c r="B290" s="1">
        <v>323712.5</v>
      </c>
      <c r="C290" s="1">
        <v>-6887.5</v>
      </c>
    </row>
    <row r="291" spans="1:3" x14ac:dyDescent="0.3">
      <c r="A291">
        <v>1530</v>
      </c>
      <c r="B291" s="1">
        <v>21573</v>
      </c>
      <c r="C291" s="1">
        <v>6273</v>
      </c>
    </row>
    <row r="292" spans="1:3" x14ac:dyDescent="0.3">
      <c r="A292">
        <v>1496</v>
      </c>
      <c r="B292" s="1">
        <v>492184</v>
      </c>
      <c r="C292" s="1">
        <v>103224</v>
      </c>
    </row>
    <row r="293" spans="1:3" x14ac:dyDescent="0.3">
      <c r="A293">
        <v>1498</v>
      </c>
      <c r="B293" s="1">
        <v>9856.84</v>
      </c>
      <c r="C293" s="1">
        <v>2366.84</v>
      </c>
    </row>
    <row r="294" spans="1:3" x14ac:dyDescent="0.3">
      <c r="A294">
        <v>1221</v>
      </c>
      <c r="B294" s="1">
        <v>344322</v>
      </c>
      <c r="C294" s="1">
        <v>39072</v>
      </c>
    </row>
    <row r="295" spans="1:3" x14ac:dyDescent="0.3">
      <c r="A295">
        <v>2076</v>
      </c>
      <c r="B295" s="1">
        <v>683004</v>
      </c>
      <c r="C295" s="1">
        <v>143244</v>
      </c>
    </row>
    <row r="296" spans="1:3" x14ac:dyDescent="0.3">
      <c r="A296">
        <v>2844</v>
      </c>
      <c r="B296" s="1">
        <v>40100.400000000001</v>
      </c>
      <c r="C296" s="1">
        <v>11660.400000000001</v>
      </c>
    </row>
    <row r="297" spans="1:3" x14ac:dyDescent="0.3">
      <c r="A297">
        <v>1498</v>
      </c>
      <c r="B297" s="1">
        <v>9856.84</v>
      </c>
      <c r="C297" s="1">
        <v>2366.84</v>
      </c>
    </row>
    <row r="298" spans="1:3" x14ac:dyDescent="0.3">
      <c r="A298">
        <v>1221</v>
      </c>
      <c r="B298" s="1">
        <v>344322</v>
      </c>
      <c r="C298" s="1">
        <v>39072</v>
      </c>
    </row>
    <row r="299" spans="1:3" x14ac:dyDescent="0.3">
      <c r="A299">
        <v>1123</v>
      </c>
      <c r="B299" s="1">
        <v>21112.400000000001</v>
      </c>
      <c r="C299" s="1">
        <v>9882.4000000000015</v>
      </c>
    </row>
    <row r="300" spans="1:3" x14ac:dyDescent="0.3">
      <c r="A300">
        <v>2436</v>
      </c>
      <c r="B300" s="1">
        <v>686952</v>
      </c>
      <c r="C300" s="1">
        <v>77952</v>
      </c>
    </row>
    <row r="301" spans="1:3" x14ac:dyDescent="0.3">
      <c r="A301">
        <v>1987.5</v>
      </c>
      <c r="B301" s="1">
        <v>233531.25</v>
      </c>
      <c r="C301" s="1">
        <v>-4968.75</v>
      </c>
    </row>
    <row r="302" spans="1:3" x14ac:dyDescent="0.3">
      <c r="A302">
        <v>1679</v>
      </c>
      <c r="B302" s="1">
        <v>552391</v>
      </c>
      <c r="C302" s="1">
        <v>115851</v>
      </c>
    </row>
    <row r="303" spans="1:3" x14ac:dyDescent="0.3">
      <c r="A303">
        <v>727</v>
      </c>
      <c r="B303" s="1">
        <v>239183</v>
      </c>
      <c r="C303" s="1">
        <v>50163</v>
      </c>
    </row>
    <row r="304" spans="1:3" x14ac:dyDescent="0.3">
      <c r="A304">
        <v>1403</v>
      </c>
      <c r="B304" s="1">
        <v>9231.74</v>
      </c>
      <c r="C304" s="1">
        <v>2216.7399999999998</v>
      </c>
    </row>
    <row r="305" spans="1:3" x14ac:dyDescent="0.3">
      <c r="A305">
        <v>2076</v>
      </c>
      <c r="B305" s="1">
        <v>683004</v>
      </c>
      <c r="C305" s="1">
        <v>143244</v>
      </c>
    </row>
    <row r="306" spans="1:3" x14ac:dyDescent="0.3">
      <c r="A306">
        <v>1757</v>
      </c>
      <c r="B306" s="1">
        <v>33031.599999999999</v>
      </c>
      <c r="C306" s="1">
        <v>15461.599999999999</v>
      </c>
    </row>
    <row r="307" spans="1:3" x14ac:dyDescent="0.3">
      <c r="A307">
        <v>2198</v>
      </c>
      <c r="B307" s="1">
        <v>30991.8</v>
      </c>
      <c r="C307" s="1">
        <v>9011.7999999999993</v>
      </c>
    </row>
    <row r="308" spans="1:3" x14ac:dyDescent="0.3">
      <c r="A308">
        <v>1743</v>
      </c>
      <c r="B308" s="1">
        <v>24576.3</v>
      </c>
      <c r="C308" s="1">
        <v>7146.2999999999993</v>
      </c>
    </row>
    <row r="309" spans="1:3" x14ac:dyDescent="0.3">
      <c r="A309">
        <v>1153</v>
      </c>
      <c r="B309" s="1">
        <v>16257.3</v>
      </c>
      <c r="C309" s="1">
        <v>4727.2999999999993</v>
      </c>
    </row>
    <row r="310" spans="1:3" x14ac:dyDescent="0.3">
      <c r="A310">
        <v>1757</v>
      </c>
      <c r="B310" s="1">
        <v>33031.599999999999</v>
      </c>
      <c r="C310" s="1">
        <v>15461.599999999999</v>
      </c>
    </row>
    <row r="311" spans="1:3" x14ac:dyDescent="0.3">
      <c r="A311">
        <v>1001</v>
      </c>
      <c r="B311" s="1">
        <v>18818.8</v>
      </c>
      <c r="C311" s="1">
        <v>8808.7999999999993</v>
      </c>
    </row>
    <row r="312" spans="1:3" x14ac:dyDescent="0.3">
      <c r="A312">
        <v>1333</v>
      </c>
      <c r="B312" s="1">
        <v>8771.14</v>
      </c>
      <c r="C312" s="1">
        <v>2106.1399999999994</v>
      </c>
    </row>
    <row r="313" spans="1:3" x14ac:dyDescent="0.3">
      <c r="A313">
        <v>1153</v>
      </c>
      <c r="B313" s="1">
        <v>16257.3</v>
      </c>
      <c r="C313" s="1">
        <v>4727.2999999999993</v>
      </c>
    </row>
    <row r="314" spans="1:3" x14ac:dyDescent="0.3">
      <c r="A314">
        <v>727</v>
      </c>
      <c r="B314" s="1">
        <v>8113.32</v>
      </c>
      <c r="C314" s="1">
        <v>5932.32</v>
      </c>
    </row>
    <row r="315" spans="1:3" x14ac:dyDescent="0.3">
      <c r="A315">
        <v>1884</v>
      </c>
      <c r="B315" s="1">
        <v>21025.439999999999</v>
      </c>
      <c r="C315" s="1">
        <v>15373.439999999999</v>
      </c>
    </row>
    <row r="316" spans="1:3" x14ac:dyDescent="0.3">
      <c r="A316">
        <v>1834</v>
      </c>
      <c r="B316" s="1">
        <v>34112.400000000001</v>
      </c>
      <c r="C316" s="1">
        <v>15772.400000000001</v>
      </c>
    </row>
    <row r="317" spans="1:3" x14ac:dyDescent="0.3">
      <c r="A317">
        <v>2340</v>
      </c>
      <c r="B317" s="1">
        <v>26114.400000000001</v>
      </c>
      <c r="C317" s="1">
        <v>19094.400000000001</v>
      </c>
    </row>
    <row r="318" spans="1:3" x14ac:dyDescent="0.3">
      <c r="A318">
        <v>2342</v>
      </c>
      <c r="B318" s="1">
        <v>26136.720000000001</v>
      </c>
      <c r="C318" s="1">
        <v>19110.72</v>
      </c>
    </row>
    <row r="319" spans="1:3" x14ac:dyDescent="0.3">
      <c r="A319">
        <v>1031</v>
      </c>
      <c r="B319" s="1">
        <v>6711.81</v>
      </c>
      <c r="C319" s="1">
        <v>1556.8100000000004</v>
      </c>
    </row>
    <row r="320" spans="1:3" x14ac:dyDescent="0.3">
      <c r="A320">
        <v>1262</v>
      </c>
      <c r="B320" s="1">
        <v>17604.900000000001</v>
      </c>
      <c r="C320" s="1">
        <v>4984.9000000000015</v>
      </c>
    </row>
    <row r="321" spans="1:3" x14ac:dyDescent="0.3">
      <c r="A321">
        <v>1135</v>
      </c>
      <c r="B321" s="1">
        <v>7388.85</v>
      </c>
      <c r="C321" s="1">
        <v>1713.8500000000004</v>
      </c>
    </row>
    <row r="322" spans="1:3" x14ac:dyDescent="0.3">
      <c r="A322">
        <v>547</v>
      </c>
      <c r="B322" s="1">
        <v>3560.9700000000003</v>
      </c>
      <c r="C322" s="1">
        <v>825.97000000000025</v>
      </c>
    </row>
    <row r="323" spans="1:3" x14ac:dyDescent="0.3">
      <c r="A323">
        <v>1582</v>
      </c>
      <c r="B323" s="1">
        <v>10298.82</v>
      </c>
      <c r="C323" s="1">
        <v>2388.8199999999997</v>
      </c>
    </row>
    <row r="324" spans="1:3" x14ac:dyDescent="0.3">
      <c r="A324">
        <v>1738.5</v>
      </c>
      <c r="B324" s="1">
        <v>19401.66</v>
      </c>
      <c r="C324" s="1">
        <v>14186.16</v>
      </c>
    </row>
    <row r="325" spans="1:3" x14ac:dyDescent="0.3">
      <c r="A325">
        <v>2215</v>
      </c>
      <c r="B325" s="1">
        <v>24719.4</v>
      </c>
      <c r="C325" s="1">
        <v>18074.400000000001</v>
      </c>
    </row>
    <row r="326" spans="1:3" x14ac:dyDescent="0.3">
      <c r="A326">
        <v>1582</v>
      </c>
      <c r="B326" s="1">
        <v>10298.82</v>
      </c>
      <c r="C326" s="1">
        <v>2388.8199999999997</v>
      </c>
    </row>
    <row r="327" spans="1:3" x14ac:dyDescent="0.3">
      <c r="A327">
        <v>1135</v>
      </c>
      <c r="B327" s="1">
        <v>7388.85</v>
      </c>
      <c r="C327" s="1">
        <v>1713.8500000000004</v>
      </c>
    </row>
    <row r="328" spans="1:3" x14ac:dyDescent="0.3">
      <c r="A328">
        <v>1761</v>
      </c>
      <c r="B328" s="1">
        <v>573205.5</v>
      </c>
      <c r="C328" s="1">
        <v>115345.5</v>
      </c>
    </row>
    <row r="329" spans="1:3" x14ac:dyDescent="0.3">
      <c r="A329">
        <v>448</v>
      </c>
      <c r="B329" s="1">
        <v>124992</v>
      </c>
      <c r="C329" s="1">
        <v>12992</v>
      </c>
    </row>
    <row r="330" spans="1:3" x14ac:dyDescent="0.3">
      <c r="A330">
        <v>2181</v>
      </c>
      <c r="B330" s="1">
        <v>608499</v>
      </c>
      <c r="C330" s="1">
        <v>63249</v>
      </c>
    </row>
    <row r="331" spans="1:3" x14ac:dyDescent="0.3">
      <c r="A331">
        <v>1976</v>
      </c>
      <c r="B331" s="1">
        <v>36753.599999999999</v>
      </c>
      <c r="C331" s="1">
        <v>16993.599999999999</v>
      </c>
    </row>
    <row r="332" spans="1:3" x14ac:dyDescent="0.3">
      <c r="A332">
        <v>2181</v>
      </c>
      <c r="B332" s="1">
        <v>608499</v>
      </c>
      <c r="C332" s="1">
        <v>63249</v>
      </c>
    </row>
    <row r="333" spans="1:3" x14ac:dyDescent="0.3">
      <c r="A333">
        <v>2500</v>
      </c>
      <c r="B333" s="1">
        <v>290625</v>
      </c>
      <c r="C333" s="1">
        <v>-9375</v>
      </c>
    </row>
    <row r="334" spans="1:3" x14ac:dyDescent="0.3">
      <c r="A334">
        <v>1702</v>
      </c>
      <c r="B334" s="1">
        <v>474858</v>
      </c>
      <c r="C334" s="1">
        <v>49358</v>
      </c>
    </row>
    <row r="335" spans="1:3" x14ac:dyDescent="0.3">
      <c r="A335">
        <v>448</v>
      </c>
      <c r="B335" s="1">
        <v>124992</v>
      </c>
      <c r="C335" s="1">
        <v>12992</v>
      </c>
    </row>
    <row r="336" spans="1:3" x14ac:dyDescent="0.3">
      <c r="A336">
        <v>3513</v>
      </c>
      <c r="B336" s="1">
        <v>408386.25</v>
      </c>
      <c r="C336" s="1">
        <v>-13173.75</v>
      </c>
    </row>
    <row r="337" spans="1:3" x14ac:dyDescent="0.3">
      <c r="A337">
        <v>2101</v>
      </c>
      <c r="B337" s="1">
        <v>29308.95</v>
      </c>
      <c r="C337" s="1">
        <v>8298.9500000000007</v>
      </c>
    </row>
    <row r="338" spans="1:3" x14ac:dyDescent="0.3">
      <c r="A338">
        <v>2931</v>
      </c>
      <c r="B338" s="1">
        <v>40887.449999999997</v>
      </c>
      <c r="C338" s="1">
        <v>11577.449999999997</v>
      </c>
    </row>
    <row r="339" spans="1:3" x14ac:dyDescent="0.3">
      <c r="A339">
        <v>1535</v>
      </c>
      <c r="B339" s="1">
        <v>28551</v>
      </c>
      <c r="C339" s="1">
        <v>13201</v>
      </c>
    </row>
    <row r="340" spans="1:3" x14ac:dyDescent="0.3">
      <c r="A340">
        <v>1123</v>
      </c>
      <c r="B340" s="1">
        <v>313317</v>
      </c>
      <c r="C340" s="1">
        <v>32567</v>
      </c>
    </row>
    <row r="341" spans="1:3" x14ac:dyDescent="0.3">
      <c r="A341">
        <v>1404</v>
      </c>
      <c r="B341" s="1">
        <v>391716</v>
      </c>
      <c r="C341" s="1">
        <v>40716</v>
      </c>
    </row>
    <row r="342" spans="1:3" x14ac:dyDescent="0.3">
      <c r="A342">
        <v>2763</v>
      </c>
      <c r="B342" s="1">
        <v>30835.08</v>
      </c>
      <c r="C342" s="1">
        <v>22546.080000000002</v>
      </c>
    </row>
    <row r="343" spans="1:3" x14ac:dyDescent="0.3">
      <c r="A343">
        <v>2125</v>
      </c>
      <c r="B343" s="1">
        <v>13833.75</v>
      </c>
      <c r="C343" s="1">
        <v>3208.75</v>
      </c>
    </row>
    <row r="344" spans="1:3" x14ac:dyDescent="0.3">
      <c r="A344">
        <v>1659</v>
      </c>
      <c r="B344" s="1">
        <v>462861</v>
      </c>
      <c r="C344" s="1">
        <v>48111</v>
      </c>
    </row>
    <row r="345" spans="1:3" x14ac:dyDescent="0.3">
      <c r="A345">
        <v>609</v>
      </c>
      <c r="B345" s="1">
        <v>11327.4</v>
      </c>
      <c r="C345" s="1">
        <v>5237.3999999999996</v>
      </c>
    </row>
    <row r="346" spans="1:3" x14ac:dyDescent="0.3">
      <c r="A346">
        <v>2087</v>
      </c>
      <c r="B346" s="1">
        <v>242613.75</v>
      </c>
      <c r="C346" s="1">
        <v>-7826.25</v>
      </c>
    </row>
    <row r="347" spans="1:3" x14ac:dyDescent="0.3">
      <c r="A347">
        <v>1976</v>
      </c>
      <c r="B347" s="1">
        <v>36753.599999999999</v>
      </c>
      <c r="C347" s="1">
        <v>16993.599999999999</v>
      </c>
    </row>
    <row r="348" spans="1:3" x14ac:dyDescent="0.3">
      <c r="A348">
        <v>1421</v>
      </c>
      <c r="B348" s="1">
        <v>26430.6</v>
      </c>
      <c r="C348" s="1">
        <v>12220.599999999999</v>
      </c>
    </row>
    <row r="349" spans="1:3" x14ac:dyDescent="0.3">
      <c r="A349">
        <v>1372</v>
      </c>
      <c r="B349" s="1">
        <v>382788</v>
      </c>
      <c r="C349" s="1">
        <v>39788</v>
      </c>
    </row>
    <row r="350" spans="1:3" x14ac:dyDescent="0.3">
      <c r="A350">
        <v>588</v>
      </c>
      <c r="B350" s="1">
        <v>10936.8</v>
      </c>
      <c r="C350" s="1">
        <v>5056.7999999999993</v>
      </c>
    </row>
    <row r="351" spans="1:3" x14ac:dyDescent="0.3">
      <c r="A351">
        <v>3244.5</v>
      </c>
      <c r="B351" s="1">
        <v>36208.620000000003</v>
      </c>
      <c r="C351" s="1">
        <v>26475.120000000003</v>
      </c>
    </row>
    <row r="352" spans="1:3" x14ac:dyDescent="0.3">
      <c r="A352">
        <v>959</v>
      </c>
      <c r="B352" s="1">
        <v>267561</v>
      </c>
      <c r="C352" s="1">
        <v>27811</v>
      </c>
    </row>
    <row r="353" spans="1:3" x14ac:dyDescent="0.3">
      <c r="A353">
        <v>2747</v>
      </c>
      <c r="B353" s="1">
        <v>766413</v>
      </c>
      <c r="C353" s="1">
        <v>79663</v>
      </c>
    </row>
    <row r="354" spans="1:3" x14ac:dyDescent="0.3">
      <c r="A354">
        <v>1645</v>
      </c>
      <c r="B354" s="1">
        <v>191231.25</v>
      </c>
      <c r="C354" s="1">
        <v>-6168.75</v>
      </c>
    </row>
    <row r="355" spans="1:3" x14ac:dyDescent="0.3">
      <c r="A355">
        <v>2876</v>
      </c>
      <c r="B355" s="1">
        <v>936138</v>
      </c>
      <c r="C355" s="1">
        <v>188378</v>
      </c>
    </row>
    <row r="356" spans="1:3" x14ac:dyDescent="0.3">
      <c r="A356">
        <v>994</v>
      </c>
      <c r="B356" s="1">
        <v>115552.5</v>
      </c>
      <c r="C356" s="1">
        <v>-3727.5</v>
      </c>
    </row>
    <row r="357" spans="1:3" x14ac:dyDescent="0.3">
      <c r="A357">
        <v>1118</v>
      </c>
      <c r="B357" s="1">
        <v>20794.8</v>
      </c>
      <c r="C357" s="1">
        <v>9614.7999999999993</v>
      </c>
    </row>
    <row r="358" spans="1:3" x14ac:dyDescent="0.3">
      <c r="A358">
        <v>1372</v>
      </c>
      <c r="B358" s="1">
        <v>382788</v>
      </c>
      <c r="C358" s="1">
        <v>39788</v>
      </c>
    </row>
    <row r="359" spans="1:3" x14ac:dyDescent="0.3">
      <c r="A359">
        <v>488</v>
      </c>
      <c r="B359" s="1">
        <v>3142.7200000000003</v>
      </c>
      <c r="C359" s="1">
        <v>702.72000000000025</v>
      </c>
    </row>
    <row r="360" spans="1:3" x14ac:dyDescent="0.3">
      <c r="A360">
        <v>1282</v>
      </c>
      <c r="B360" s="1">
        <v>23588.799999999999</v>
      </c>
      <c r="C360" s="1">
        <v>10768.8</v>
      </c>
    </row>
    <row r="361" spans="1:3" x14ac:dyDescent="0.3">
      <c r="A361">
        <v>257</v>
      </c>
      <c r="B361" s="1">
        <v>1655.08</v>
      </c>
      <c r="C361" s="1">
        <v>370.07999999999993</v>
      </c>
    </row>
    <row r="362" spans="1:3" x14ac:dyDescent="0.3">
      <c r="A362">
        <v>1282</v>
      </c>
      <c r="B362" s="1">
        <v>23588.799999999999</v>
      </c>
      <c r="C362" s="1">
        <v>10768.8</v>
      </c>
    </row>
    <row r="363" spans="1:3" x14ac:dyDescent="0.3">
      <c r="A363">
        <v>1540</v>
      </c>
      <c r="B363" s="1">
        <v>177100</v>
      </c>
      <c r="C363" s="1">
        <v>-7700</v>
      </c>
    </row>
    <row r="364" spans="1:3" x14ac:dyDescent="0.3">
      <c r="A364">
        <v>490</v>
      </c>
      <c r="B364" s="1">
        <v>6762</v>
      </c>
      <c r="C364" s="1">
        <v>1862</v>
      </c>
    </row>
    <row r="365" spans="1:3" x14ac:dyDescent="0.3">
      <c r="A365">
        <v>1362</v>
      </c>
      <c r="B365" s="1">
        <v>438564</v>
      </c>
      <c r="C365" s="1">
        <v>84444</v>
      </c>
    </row>
    <row r="366" spans="1:3" x14ac:dyDescent="0.3">
      <c r="A366">
        <v>2501</v>
      </c>
      <c r="B366" s="1">
        <v>34513.800000000003</v>
      </c>
      <c r="C366" s="1">
        <v>9503.8000000000029</v>
      </c>
    </row>
    <row r="367" spans="1:3" x14ac:dyDescent="0.3">
      <c r="A367">
        <v>708</v>
      </c>
      <c r="B367" s="1">
        <v>13027.2</v>
      </c>
      <c r="C367" s="1">
        <v>5947.2000000000007</v>
      </c>
    </row>
    <row r="368" spans="1:3" x14ac:dyDescent="0.3">
      <c r="A368">
        <v>645</v>
      </c>
      <c r="B368" s="1">
        <v>11868</v>
      </c>
      <c r="C368" s="1">
        <v>5418</v>
      </c>
    </row>
    <row r="369" spans="1:3" x14ac:dyDescent="0.3">
      <c r="A369">
        <v>1562</v>
      </c>
      <c r="B369" s="1">
        <v>431112</v>
      </c>
      <c r="C369" s="1">
        <v>40612</v>
      </c>
    </row>
    <row r="370" spans="1:3" x14ac:dyDescent="0.3">
      <c r="A370">
        <v>1283</v>
      </c>
      <c r="B370" s="1">
        <v>354108</v>
      </c>
      <c r="C370" s="1">
        <v>33358</v>
      </c>
    </row>
    <row r="371" spans="1:3" x14ac:dyDescent="0.3">
      <c r="A371">
        <v>711</v>
      </c>
      <c r="B371" s="1">
        <v>9811.7999999999993</v>
      </c>
      <c r="C371" s="1">
        <v>2701.7999999999993</v>
      </c>
    </row>
    <row r="372" spans="1:3" x14ac:dyDescent="0.3">
      <c r="A372">
        <v>1114</v>
      </c>
      <c r="B372" s="1">
        <v>128110</v>
      </c>
      <c r="C372" s="1">
        <v>-5570</v>
      </c>
    </row>
    <row r="373" spans="1:3" x14ac:dyDescent="0.3">
      <c r="A373">
        <v>1259</v>
      </c>
      <c r="B373" s="1">
        <v>8107.96</v>
      </c>
      <c r="C373" s="1">
        <v>1812.96</v>
      </c>
    </row>
    <row r="374" spans="1:3" x14ac:dyDescent="0.3">
      <c r="A374">
        <v>1095</v>
      </c>
      <c r="B374" s="1">
        <v>7051.8</v>
      </c>
      <c r="C374" s="1">
        <v>1576.8000000000002</v>
      </c>
    </row>
    <row r="375" spans="1:3" x14ac:dyDescent="0.3">
      <c r="A375">
        <v>1366</v>
      </c>
      <c r="B375" s="1">
        <v>25134.400000000001</v>
      </c>
      <c r="C375" s="1">
        <v>11474.400000000001</v>
      </c>
    </row>
    <row r="376" spans="1:3" x14ac:dyDescent="0.3">
      <c r="A376">
        <v>2460</v>
      </c>
      <c r="B376" s="1">
        <v>678960</v>
      </c>
      <c r="C376" s="1">
        <v>63960</v>
      </c>
    </row>
    <row r="377" spans="1:3" x14ac:dyDescent="0.3">
      <c r="A377">
        <v>678</v>
      </c>
      <c r="B377" s="1">
        <v>4366.32</v>
      </c>
      <c r="C377" s="1">
        <v>976.31999999999971</v>
      </c>
    </row>
    <row r="378" spans="1:3" x14ac:dyDescent="0.3">
      <c r="A378">
        <v>1598</v>
      </c>
      <c r="B378" s="1">
        <v>10291.120000000001</v>
      </c>
      <c r="C378" s="1">
        <v>2301.1200000000008</v>
      </c>
    </row>
    <row r="379" spans="1:3" x14ac:dyDescent="0.3">
      <c r="A379">
        <v>2409</v>
      </c>
      <c r="B379" s="1">
        <v>15513.96</v>
      </c>
      <c r="C379" s="1">
        <v>3468.9599999999991</v>
      </c>
    </row>
    <row r="380" spans="1:3" x14ac:dyDescent="0.3">
      <c r="A380">
        <v>1934</v>
      </c>
      <c r="B380" s="1">
        <v>35585.599999999999</v>
      </c>
      <c r="C380" s="1">
        <v>16245.599999999999</v>
      </c>
    </row>
    <row r="381" spans="1:3" x14ac:dyDescent="0.3">
      <c r="A381">
        <v>2993</v>
      </c>
      <c r="B381" s="1">
        <v>55071.199999999997</v>
      </c>
      <c r="C381" s="1">
        <v>25141.199999999997</v>
      </c>
    </row>
    <row r="382" spans="1:3" x14ac:dyDescent="0.3">
      <c r="A382">
        <v>2146</v>
      </c>
      <c r="B382" s="1">
        <v>691012</v>
      </c>
      <c r="C382" s="1">
        <v>133052</v>
      </c>
    </row>
    <row r="383" spans="1:3" x14ac:dyDescent="0.3">
      <c r="A383">
        <v>1946</v>
      </c>
      <c r="B383" s="1">
        <v>12532.24</v>
      </c>
      <c r="C383" s="1">
        <v>2802.24</v>
      </c>
    </row>
    <row r="384" spans="1:3" x14ac:dyDescent="0.3">
      <c r="A384">
        <v>1362</v>
      </c>
      <c r="B384" s="1">
        <v>438564</v>
      </c>
      <c r="C384" s="1">
        <v>84444</v>
      </c>
    </row>
    <row r="385" spans="1:3" x14ac:dyDescent="0.3">
      <c r="A385">
        <v>598</v>
      </c>
      <c r="B385" s="1">
        <v>6601.92</v>
      </c>
      <c r="C385" s="1">
        <v>4807.92</v>
      </c>
    </row>
    <row r="386" spans="1:3" x14ac:dyDescent="0.3">
      <c r="A386">
        <v>2907</v>
      </c>
      <c r="B386" s="1">
        <v>18721.080000000002</v>
      </c>
      <c r="C386" s="1">
        <v>4186.0800000000017</v>
      </c>
    </row>
    <row r="387" spans="1:3" x14ac:dyDescent="0.3">
      <c r="A387">
        <v>2338</v>
      </c>
      <c r="B387" s="1">
        <v>15056.72</v>
      </c>
      <c r="C387" s="1">
        <v>3366.7199999999993</v>
      </c>
    </row>
    <row r="388" spans="1:3" x14ac:dyDescent="0.3">
      <c r="A388">
        <v>386</v>
      </c>
      <c r="B388" s="1">
        <v>106536</v>
      </c>
      <c r="C388" s="1">
        <v>10036</v>
      </c>
    </row>
    <row r="389" spans="1:3" x14ac:dyDescent="0.3">
      <c r="A389">
        <v>635</v>
      </c>
      <c r="B389" s="1">
        <v>175260</v>
      </c>
      <c r="C389" s="1">
        <v>16510</v>
      </c>
    </row>
    <row r="390" spans="1:3" x14ac:dyDescent="0.3">
      <c r="A390">
        <v>574.5</v>
      </c>
      <c r="B390" s="1">
        <v>184989</v>
      </c>
      <c r="C390" s="1">
        <v>35619</v>
      </c>
    </row>
    <row r="391" spans="1:3" x14ac:dyDescent="0.3">
      <c r="A391">
        <v>2338</v>
      </c>
      <c r="B391" s="1">
        <v>15056.72</v>
      </c>
      <c r="C391" s="1">
        <v>3366.7199999999993</v>
      </c>
    </row>
    <row r="392" spans="1:3" x14ac:dyDescent="0.3">
      <c r="A392">
        <v>381</v>
      </c>
      <c r="B392" s="1">
        <v>122682</v>
      </c>
      <c r="C392" s="1">
        <v>23622</v>
      </c>
    </row>
    <row r="393" spans="1:3" x14ac:dyDescent="0.3">
      <c r="A393">
        <v>422</v>
      </c>
      <c r="B393" s="1">
        <v>135884</v>
      </c>
      <c r="C393" s="1">
        <v>26164</v>
      </c>
    </row>
    <row r="394" spans="1:3" x14ac:dyDescent="0.3">
      <c r="A394">
        <v>2134</v>
      </c>
      <c r="B394" s="1">
        <v>588984</v>
      </c>
      <c r="C394" s="1">
        <v>55484</v>
      </c>
    </row>
    <row r="395" spans="1:3" x14ac:dyDescent="0.3">
      <c r="A395">
        <v>808</v>
      </c>
      <c r="B395" s="1">
        <v>223008</v>
      </c>
      <c r="C395" s="1">
        <v>21008</v>
      </c>
    </row>
    <row r="396" spans="1:3" x14ac:dyDescent="0.3">
      <c r="A396">
        <v>708</v>
      </c>
      <c r="B396" s="1">
        <v>13027.2</v>
      </c>
      <c r="C396" s="1">
        <v>5947.2000000000007</v>
      </c>
    </row>
    <row r="397" spans="1:3" x14ac:dyDescent="0.3">
      <c r="A397">
        <v>2907</v>
      </c>
      <c r="B397" s="1">
        <v>18721.080000000002</v>
      </c>
      <c r="C397" s="1">
        <v>4186.0800000000017</v>
      </c>
    </row>
    <row r="398" spans="1:3" x14ac:dyDescent="0.3">
      <c r="A398">
        <v>1366</v>
      </c>
      <c r="B398" s="1">
        <v>25134.400000000001</v>
      </c>
      <c r="C398" s="1">
        <v>11474.400000000001</v>
      </c>
    </row>
    <row r="399" spans="1:3" x14ac:dyDescent="0.3">
      <c r="A399">
        <v>2460</v>
      </c>
      <c r="B399" s="1">
        <v>678960</v>
      </c>
      <c r="C399" s="1">
        <v>63960</v>
      </c>
    </row>
    <row r="400" spans="1:3" x14ac:dyDescent="0.3">
      <c r="A400">
        <v>1520</v>
      </c>
      <c r="B400" s="1">
        <v>27968</v>
      </c>
      <c r="C400" s="1">
        <v>12768</v>
      </c>
    </row>
    <row r="401" spans="1:3" x14ac:dyDescent="0.3">
      <c r="A401">
        <v>711</v>
      </c>
      <c r="B401" s="1">
        <v>9811.7999999999993</v>
      </c>
      <c r="C401" s="1">
        <v>2701.7999999999993</v>
      </c>
    </row>
    <row r="402" spans="1:3" x14ac:dyDescent="0.3">
      <c r="A402">
        <v>1375</v>
      </c>
      <c r="B402" s="1">
        <v>15180</v>
      </c>
      <c r="C402" s="1">
        <v>11055</v>
      </c>
    </row>
    <row r="403" spans="1:3" x14ac:dyDescent="0.3">
      <c r="A403">
        <v>635</v>
      </c>
      <c r="B403" s="1">
        <v>175260</v>
      </c>
      <c r="C403" s="1">
        <v>16510</v>
      </c>
    </row>
    <row r="404" spans="1:3" x14ac:dyDescent="0.3">
      <c r="A404">
        <v>436.5</v>
      </c>
      <c r="B404" s="1">
        <v>8031.5999999999995</v>
      </c>
      <c r="C404" s="1">
        <v>3666.5999999999995</v>
      </c>
    </row>
    <row r="405" spans="1:3" x14ac:dyDescent="0.3">
      <c r="A405">
        <v>1094</v>
      </c>
      <c r="B405" s="1">
        <v>298662</v>
      </c>
      <c r="C405" s="1">
        <v>25162</v>
      </c>
    </row>
    <row r="406" spans="1:3" x14ac:dyDescent="0.3">
      <c r="A406">
        <v>367</v>
      </c>
      <c r="B406" s="1">
        <v>4007.64</v>
      </c>
      <c r="C406" s="1">
        <v>2906.64</v>
      </c>
    </row>
    <row r="407" spans="1:3" x14ac:dyDescent="0.3">
      <c r="A407">
        <v>3802.5</v>
      </c>
      <c r="B407" s="1">
        <v>1038082.5</v>
      </c>
      <c r="C407" s="1">
        <v>87457.5</v>
      </c>
    </row>
    <row r="408" spans="1:3" x14ac:dyDescent="0.3">
      <c r="A408">
        <v>1666</v>
      </c>
      <c r="B408" s="1">
        <v>530621</v>
      </c>
      <c r="C408" s="1">
        <v>97461</v>
      </c>
    </row>
    <row r="409" spans="1:3" x14ac:dyDescent="0.3">
      <c r="A409">
        <v>322</v>
      </c>
      <c r="B409" s="1">
        <v>87906</v>
      </c>
      <c r="C409" s="1">
        <v>7406</v>
      </c>
    </row>
    <row r="410" spans="1:3" x14ac:dyDescent="0.3">
      <c r="A410">
        <v>2321</v>
      </c>
      <c r="B410" s="1">
        <v>25345.32</v>
      </c>
      <c r="C410" s="1">
        <v>18382.32</v>
      </c>
    </row>
    <row r="411" spans="1:3" x14ac:dyDescent="0.3">
      <c r="A411">
        <v>1857</v>
      </c>
      <c r="B411" s="1">
        <v>211233.75</v>
      </c>
      <c r="C411" s="1">
        <v>-11606.25</v>
      </c>
    </row>
    <row r="412" spans="1:3" x14ac:dyDescent="0.3">
      <c r="A412">
        <v>1611</v>
      </c>
      <c r="B412" s="1">
        <v>10262.07</v>
      </c>
      <c r="C412" s="1">
        <v>2207.0699999999997</v>
      </c>
    </row>
    <row r="413" spans="1:3" x14ac:dyDescent="0.3">
      <c r="A413">
        <v>2797</v>
      </c>
      <c r="B413" s="1">
        <v>318158.75</v>
      </c>
      <c r="C413" s="1">
        <v>-17481.25</v>
      </c>
    </row>
    <row r="414" spans="1:3" x14ac:dyDescent="0.3">
      <c r="A414">
        <v>334</v>
      </c>
      <c r="B414" s="1">
        <v>91182</v>
      </c>
      <c r="C414" s="1">
        <v>7682</v>
      </c>
    </row>
    <row r="415" spans="1:3" x14ac:dyDescent="0.3">
      <c r="A415">
        <v>2565</v>
      </c>
      <c r="B415" s="1">
        <v>700245</v>
      </c>
      <c r="C415" s="1">
        <v>58995</v>
      </c>
    </row>
    <row r="416" spans="1:3" x14ac:dyDescent="0.3">
      <c r="A416">
        <v>2417</v>
      </c>
      <c r="B416" s="1">
        <v>769814.5</v>
      </c>
      <c r="C416" s="1">
        <v>141394.5</v>
      </c>
    </row>
    <row r="417" spans="1:3" x14ac:dyDescent="0.3">
      <c r="A417">
        <v>3675</v>
      </c>
      <c r="B417" s="1">
        <v>50163.75</v>
      </c>
      <c r="C417" s="1">
        <v>13413.75</v>
      </c>
    </row>
    <row r="418" spans="1:3" x14ac:dyDescent="0.3">
      <c r="A418">
        <v>1094</v>
      </c>
      <c r="B418" s="1">
        <v>298662</v>
      </c>
      <c r="C418" s="1">
        <v>25162</v>
      </c>
    </row>
    <row r="419" spans="1:3" x14ac:dyDescent="0.3">
      <c r="A419">
        <v>1227</v>
      </c>
      <c r="B419" s="1">
        <v>16748.55</v>
      </c>
      <c r="C419" s="1">
        <v>4478.5499999999993</v>
      </c>
    </row>
    <row r="420" spans="1:3" x14ac:dyDescent="0.3">
      <c r="A420">
        <v>367</v>
      </c>
      <c r="B420" s="1">
        <v>4007.64</v>
      </c>
      <c r="C420" s="1">
        <v>2906.64</v>
      </c>
    </row>
    <row r="421" spans="1:3" x14ac:dyDescent="0.3">
      <c r="A421">
        <v>1324</v>
      </c>
      <c r="B421" s="1">
        <v>361452</v>
      </c>
      <c r="C421" s="1">
        <v>30452</v>
      </c>
    </row>
    <row r="422" spans="1:3" x14ac:dyDescent="0.3">
      <c r="A422">
        <v>1775</v>
      </c>
      <c r="B422" s="1">
        <v>19383</v>
      </c>
      <c r="C422" s="1">
        <v>14058</v>
      </c>
    </row>
    <row r="423" spans="1:3" x14ac:dyDescent="0.3">
      <c r="A423">
        <v>2797</v>
      </c>
      <c r="B423" s="1">
        <v>318158.75</v>
      </c>
      <c r="C423" s="1">
        <v>-17481.25</v>
      </c>
    </row>
    <row r="424" spans="1:3" x14ac:dyDescent="0.3">
      <c r="A424">
        <v>245</v>
      </c>
      <c r="B424" s="1">
        <v>3344.25</v>
      </c>
      <c r="C424" s="1">
        <v>894.25</v>
      </c>
    </row>
    <row r="425" spans="1:3" x14ac:dyDescent="0.3">
      <c r="A425">
        <v>3793.5</v>
      </c>
      <c r="B425" s="1">
        <v>1035625.5</v>
      </c>
      <c r="C425" s="1">
        <v>87250.5</v>
      </c>
    </row>
    <row r="426" spans="1:3" x14ac:dyDescent="0.3">
      <c r="A426">
        <v>1307</v>
      </c>
      <c r="B426" s="1">
        <v>416279.5</v>
      </c>
      <c r="C426" s="1">
        <v>76459.5</v>
      </c>
    </row>
    <row r="427" spans="1:3" x14ac:dyDescent="0.3">
      <c r="A427">
        <v>567</v>
      </c>
      <c r="B427" s="1">
        <v>64496.25</v>
      </c>
      <c r="C427" s="1">
        <v>-3543.75</v>
      </c>
    </row>
    <row r="428" spans="1:3" x14ac:dyDescent="0.3">
      <c r="A428">
        <v>2110</v>
      </c>
      <c r="B428" s="1">
        <v>240012.5</v>
      </c>
      <c r="C428" s="1">
        <v>-13187.5</v>
      </c>
    </row>
    <row r="429" spans="1:3" x14ac:dyDescent="0.3">
      <c r="A429">
        <v>1269</v>
      </c>
      <c r="B429" s="1">
        <v>404176.5</v>
      </c>
      <c r="C429" s="1">
        <v>74236.5</v>
      </c>
    </row>
    <row r="430" spans="1:3" x14ac:dyDescent="0.3">
      <c r="A430">
        <v>1956</v>
      </c>
      <c r="B430" s="1">
        <v>21359.52</v>
      </c>
      <c r="C430" s="1">
        <v>15491.52</v>
      </c>
    </row>
    <row r="431" spans="1:3" x14ac:dyDescent="0.3">
      <c r="A431">
        <v>2659</v>
      </c>
      <c r="B431" s="1">
        <v>725907</v>
      </c>
      <c r="C431" s="1">
        <v>61157</v>
      </c>
    </row>
    <row r="432" spans="1:3" x14ac:dyDescent="0.3">
      <c r="A432">
        <v>1351.5</v>
      </c>
      <c r="B432" s="1">
        <v>430452.75</v>
      </c>
      <c r="C432" s="1">
        <v>79062.75</v>
      </c>
    </row>
    <row r="433" spans="1:3" x14ac:dyDescent="0.3">
      <c r="A433">
        <v>880</v>
      </c>
      <c r="B433" s="1">
        <v>9609.6</v>
      </c>
      <c r="C433" s="1">
        <v>6969.6</v>
      </c>
    </row>
    <row r="434" spans="1:3" x14ac:dyDescent="0.3">
      <c r="A434">
        <v>1867</v>
      </c>
      <c r="B434" s="1">
        <v>509691</v>
      </c>
      <c r="C434" s="1">
        <v>42941</v>
      </c>
    </row>
    <row r="435" spans="1:3" x14ac:dyDescent="0.3">
      <c r="A435">
        <v>2234</v>
      </c>
      <c r="B435" s="1">
        <v>24395.279999999999</v>
      </c>
      <c r="C435" s="1">
        <v>17693.28</v>
      </c>
    </row>
    <row r="436" spans="1:3" x14ac:dyDescent="0.3">
      <c r="A436">
        <v>1227</v>
      </c>
      <c r="B436" s="1">
        <v>16748.55</v>
      </c>
      <c r="C436" s="1">
        <v>4478.5499999999993</v>
      </c>
    </row>
    <row r="437" spans="1:3" x14ac:dyDescent="0.3">
      <c r="A437">
        <v>877</v>
      </c>
      <c r="B437" s="1">
        <v>99758.75</v>
      </c>
      <c r="C437" s="1">
        <v>-5481.25</v>
      </c>
    </row>
    <row r="438" spans="1:3" x14ac:dyDescent="0.3">
      <c r="A438">
        <v>2071</v>
      </c>
      <c r="B438" s="1">
        <v>659613.5</v>
      </c>
      <c r="C438" s="1">
        <v>121153.5</v>
      </c>
    </row>
    <row r="439" spans="1:3" x14ac:dyDescent="0.3">
      <c r="A439">
        <v>1269</v>
      </c>
      <c r="B439" s="1">
        <v>404176.5</v>
      </c>
      <c r="C439" s="1">
        <v>74236.5</v>
      </c>
    </row>
    <row r="440" spans="1:3" x14ac:dyDescent="0.3">
      <c r="A440">
        <v>970</v>
      </c>
      <c r="B440" s="1">
        <v>13240.5</v>
      </c>
      <c r="C440" s="1">
        <v>3540.5</v>
      </c>
    </row>
    <row r="441" spans="1:3" x14ac:dyDescent="0.3">
      <c r="A441">
        <v>1694</v>
      </c>
      <c r="B441" s="1">
        <v>30830.799999999999</v>
      </c>
      <c r="C441" s="1">
        <v>13890.8</v>
      </c>
    </row>
    <row r="442" spans="1:3" x14ac:dyDescent="0.3">
      <c r="A442">
        <v>663</v>
      </c>
      <c r="B442" s="1">
        <v>12066.6</v>
      </c>
      <c r="C442" s="1">
        <v>5436.6</v>
      </c>
    </row>
    <row r="443" spans="1:3" x14ac:dyDescent="0.3">
      <c r="A443">
        <v>819</v>
      </c>
      <c r="B443" s="1">
        <v>5217.03</v>
      </c>
      <c r="C443" s="1">
        <v>1122.03</v>
      </c>
    </row>
    <row r="444" spans="1:3" x14ac:dyDescent="0.3">
      <c r="A444">
        <v>1580</v>
      </c>
      <c r="B444" s="1">
        <v>17253.599999999999</v>
      </c>
      <c r="C444" s="1">
        <v>12513.599999999999</v>
      </c>
    </row>
    <row r="445" spans="1:3" x14ac:dyDescent="0.3">
      <c r="A445">
        <v>521</v>
      </c>
      <c r="B445" s="1">
        <v>3318.77</v>
      </c>
      <c r="C445" s="1">
        <v>713.77</v>
      </c>
    </row>
    <row r="446" spans="1:3" x14ac:dyDescent="0.3">
      <c r="A446">
        <v>973</v>
      </c>
      <c r="B446" s="1">
        <v>17708.599999999999</v>
      </c>
      <c r="C446" s="1">
        <v>7978.5999999999985</v>
      </c>
    </row>
    <row r="447" spans="1:3" x14ac:dyDescent="0.3">
      <c r="A447">
        <v>1038</v>
      </c>
      <c r="B447" s="1">
        <v>18891.599999999999</v>
      </c>
      <c r="C447" s="1">
        <v>8511.5999999999985</v>
      </c>
    </row>
    <row r="448" spans="1:3" x14ac:dyDescent="0.3">
      <c r="A448">
        <v>360</v>
      </c>
      <c r="B448" s="1">
        <v>2293.1999999999998</v>
      </c>
      <c r="C448" s="1">
        <v>493.19999999999982</v>
      </c>
    </row>
    <row r="449" spans="1:3" x14ac:dyDescent="0.3">
      <c r="A449">
        <v>1967</v>
      </c>
      <c r="B449" s="1">
        <v>21479.64</v>
      </c>
      <c r="C449" s="1">
        <v>15578.64</v>
      </c>
    </row>
    <row r="450" spans="1:3" x14ac:dyDescent="0.3">
      <c r="A450">
        <v>2628</v>
      </c>
      <c r="B450" s="1">
        <v>35872.199999999997</v>
      </c>
      <c r="C450" s="1">
        <v>9592.1999999999971</v>
      </c>
    </row>
    <row r="451" spans="1:3" x14ac:dyDescent="0.3">
      <c r="A451">
        <v>360</v>
      </c>
      <c r="B451" s="1">
        <v>2293.1999999999998</v>
      </c>
      <c r="C451" s="1">
        <v>493.19999999999982</v>
      </c>
    </row>
    <row r="452" spans="1:3" x14ac:dyDescent="0.3">
      <c r="A452">
        <v>2682</v>
      </c>
      <c r="B452" s="1">
        <v>48812.4</v>
      </c>
      <c r="C452" s="1">
        <v>21992.400000000001</v>
      </c>
    </row>
    <row r="453" spans="1:3" x14ac:dyDescent="0.3">
      <c r="A453">
        <v>521</v>
      </c>
      <c r="B453" s="1">
        <v>3318.77</v>
      </c>
      <c r="C453" s="1">
        <v>713.77</v>
      </c>
    </row>
    <row r="454" spans="1:3" x14ac:dyDescent="0.3">
      <c r="A454">
        <v>1038</v>
      </c>
      <c r="B454" s="1">
        <v>18891.599999999999</v>
      </c>
      <c r="C454" s="1">
        <v>8511.5999999999985</v>
      </c>
    </row>
    <row r="455" spans="1:3" x14ac:dyDescent="0.3">
      <c r="A455">
        <v>1630.5</v>
      </c>
      <c r="B455" s="1">
        <v>22256.324999999997</v>
      </c>
      <c r="C455" s="1">
        <v>5951.3249999999989</v>
      </c>
    </row>
    <row r="456" spans="1:3" x14ac:dyDescent="0.3">
      <c r="A456">
        <v>306</v>
      </c>
      <c r="B456" s="1">
        <v>3341.52</v>
      </c>
      <c r="C456" s="1">
        <v>2423.52</v>
      </c>
    </row>
    <row r="457" spans="1:3" x14ac:dyDescent="0.3">
      <c r="A457">
        <v>386</v>
      </c>
      <c r="B457" s="1">
        <v>4168.8</v>
      </c>
      <c r="C457" s="1">
        <v>3010.8</v>
      </c>
    </row>
    <row r="458" spans="1:3" x14ac:dyDescent="0.3">
      <c r="A458">
        <v>2328</v>
      </c>
      <c r="B458" s="1">
        <v>14666.4</v>
      </c>
      <c r="C458" s="1">
        <v>3026.3999999999996</v>
      </c>
    </row>
    <row r="459" spans="1:3" x14ac:dyDescent="0.3">
      <c r="A459">
        <v>386</v>
      </c>
      <c r="B459" s="1">
        <v>4168.8</v>
      </c>
      <c r="C459" s="1">
        <v>3010.8</v>
      </c>
    </row>
    <row r="460" spans="1:3" x14ac:dyDescent="0.3">
      <c r="A460">
        <v>3445.5</v>
      </c>
      <c r="B460" s="1">
        <v>387618.75</v>
      </c>
      <c r="C460" s="1">
        <v>-25841.25</v>
      </c>
    </row>
    <row r="461" spans="1:3" x14ac:dyDescent="0.3">
      <c r="A461">
        <v>1482</v>
      </c>
      <c r="B461" s="1">
        <v>166725</v>
      </c>
      <c r="C461" s="1">
        <v>-11115</v>
      </c>
    </row>
    <row r="462" spans="1:3" x14ac:dyDescent="0.3">
      <c r="A462">
        <v>2313</v>
      </c>
      <c r="B462" s="1">
        <v>728595</v>
      </c>
      <c r="C462" s="1">
        <v>127215</v>
      </c>
    </row>
    <row r="463" spans="1:3" x14ac:dyDescent="0.3">
      <c r="A463">
        <v>1804</v>
      </c>
      <c r="B463" s="1">
        <v>202950</v>
      </c>
      <c r="C463" s="1">
        <v>-13530</v>
      </c>
    </row>
    <row r="464" spans="1:3" x14ac:dyDescent="0.3">
      <c r="A464">
        <v>2072</v>
      </c>
      <c r="B464" s="1">
        <v>27972</v>
      </c>
      <c r="C464" s="1">
        <v>7252</v>
      </c>
    </row>
    <row r="465" spans="1:3" x14ac:dyDescent="0.3">
      <c r="A465">
        <v>1954</v>
      </c>
      <c r="B465" s="1">
        <v>35172</v>
      </c>
      <c r="C465" s="1">
        <v>15632</v>
      </c>
    </row>
    <row r="466" spans="1:3" x14ac:dyDescent="0.3">
      <c r="A466">
        <v>591</v>
      </c>
      <c r="B466" s="1">
        <v>159570</v>
      </c>
      <c r="C466" s="1">
        <v>11820</v>
      </c>
    </row>
    <row r="467" spans="1:3" x14ac:dyDescent="0.3">
      <c r="A467">
        <v>2167</v>
      </c>
      <c r="B467" s="1">
        <v>29254.5</v>
      </c>
      <c r="C467" s="1">
        <v>7584.5</v>
      </c>
    </row>
    <row r="468" spans="1:3" x14ac:dyDescent="0.3">
      <c r="A468">
        <v>241</v>
      </c>
      <c r="B468" s="1">
        <v>4338</v>
      </c>
      <c r="C468" s="1">
        <v>1928</v>
      </c>
    </row>
    <row r="469" spans="1:3" x14ac:dyDescent="0.3">
      <c r="A469">
        <v>681</v>
      </c>
      <c r="B469" s="1">
        <v>9193.5</v>
      </c>
      <c r="C469" s="1">
        <v>2383.5</v>
      </c>
    </row>
    <row r="470" spans="1:3" x14ac:dyDescent="0.3">
      <c r="A470">
        <v>510</v>
      </c>
      <c r="B470" s="1">
        <v>6885</v>
      </c>
      <c r="C470" s="1">
        <v>1785</v>
      </c>
    </row>
    <row r="471" spans="1:3" x14ac:dyDescent="0.3">
      <c r="A471">
        <v>790</v>
      </c>
      <c r="B471" s="1">
        <v>10665</v>
      </c>
      <c r="C471" s="1">
        <v>2765</v>
      </c>
    </row>
    <row r="472" spans="1:3" x14ac:dyDescent="0.3">
      <c r="A472">
        <v>639</v>
      </c>
      <c r="B472" s="1">
        <v>201285</v>
      </c>
      <c r="C472" s="1">
        <v>35145</v>
      </c>
    </row>
    <row r="473" spans="1:3" x14ac:dyDescent="0.3">
      <c r="A473">
        <v>1596</v>
      </c>
      <c r="B473" s="1">
        <v>179550</v>
      </c>
      <c r="C473" s="1">
        <v>-11970</v>
      </c>
    </row>
    <row r="474" spans="1:3" x14ac:dyDescent="0.3">
      <c r="A474">
        <v>2294</v>
      </c>
      <c r="B474" s="1">
        <v>619380</v>
      </c>
      <c r="C474" s="1">
        <v>45880</v>
      </c>
    </row>
    <row r="475" spans="1:3" x14ac:dyDescent="0.3">
      <c r="A475">
        <v>241</v>
      </c>
      <c r="B475" s="1">
        <v>4338</v>
      </c>
      <c r="C475" s="1">
        <v>1928</v>
      </c>
    </row>
    <row r="476" spans="1:3" x14ac:dyDescent="0.3">
      <c r="A476">
        <v>2665</v>
      </c>
      <c r="B476" s="1">
        <v>16789.5</v>
      </c>
      <c r="C476" s="1">
        <v>3464.5</v>
      </c>
    </row>
    <row r="477" spans="1:3" x14ac:dyDescent="0.3">
      <c r="A477">
        <v>1916</v>
      </c>
      <c r="B477" s="1">
        <v>215550</v>
      </c>
      <c r="C477" s="1">
        <v>-14370</v>
      </c>
    </row>
    <row r="478" spans="1:3" x14ac:dyDescent="0.3">
      <c r="A478">
        <v>853</v>
      </c>
      <c r="B478" s="1">
        <v>230310</v>
      </c>
      <c r="C478" s="1">
        <v>17060</v>
      </c>
    </row>
    <row r="479" spans="1:3" x14ac:dyDescent="0.3">
      <c r="A479">
        <v>341</v>
      </c>
      <c r="B479" s="1">
        <v>38362.5</v>
      </c>
      <c r="C479" s="1">
        <v>-2557.5</v>
      </c>
    </row>
    <row r="480" spans="1:3" x14ac:dyDescent="0.3">
      <c r="A480">
        <v>641</v>
      </c>
      <c r="B480" s="1">
        <v>8653.5</v>
      </c>
      <c r="C480" s="1">
        <v>2243.5</v>
      </c>
    </row>
    <row r="481" spans="1:3" x14ac:dyDescent="0.3">
      <c r="A481">
        <v>2807</v>
      </c>
      <c r="B481" s="1">
        <v>884205</v>
      </c>
      <c r="C481" s="1">
        <v>154385</v>
      </c>
    </row>
    <row r="482" spans="1:3" x14ac:dyDescent="0.3">
      <c r="A482">
        <v>432</v>
      </c>
      <c r="B482" s="1">
        <v>116640</v>
      </c>
      <c r="C482" s="1">
        <v>8640</v>
      </c>
    </row>
    <row r="483" spans="1:3" x14ac:dyDescent="0.3">
      <c r="A483">
        <v>2294</v>
      </c>
      <c r="B483" s="1">
        <v>619380</v>
      </c>
      <c r="C483" s="1">
        <v>45880</v>
      </c>
    </row>
    <row r="484" spans="1:3" x14ac:dyDescent="0.3">
      <c r="A484">
        <v>2167</v>
      </c>
      <c r="B484" s="1">
        <v>29254.5</v>
      </c>
      <c r="C484" s="1">
        <v>7584.5</v>
      </c>
    </row>
    <row r="485" spans="1:3" x14ac:dyDescent="0.3">
      <c r="A485">
        <v>2529</v>
      </c>
      <c r="B485" s="1">
        <v>284512.5</v>
      </c>
      <c r="C485" s="1">
        <v>-18967.5</v>
      </c>
    </row>
    <row r="486" spans="1:3" x14ac:dyDescent="0.3">
      <c r="A486">
        <v>1870</v>
      </c>
      <c r="B486" s="1">
        <v>589050</v>
      </c>
      <c r="C486" s="1">
        <v>102850</v>
      </c>
    </row>
    <row r="487" spans="1:3" x14ac:dyDescent="0.3">
      <c r="A487">
        <v>579</v>
      </c>
      <c r="B487" s="1">
        <v>65137.5</v>
      </c>
      <c r="C487" s="1">
        <v>-4342.5</v>
      </c>
    </row>
    <row r="488" spans="1:3" x14ac:dyDescent="0.3">
      <c r="A488">
        <v>2240</v>
      </c>
      <c r="B488" s="1">
        <v>705600</v>
      </c>
      <c r="C488" s="1">
        <v>123200</v>
      </c>
    </row>
    <row r="489" spans="1:3" x14ac:dyDescent="0.3">
      <c r="A489">
        <v>2993</v>
      </c>
      <c r="B489" s="1">
        <v>808110</v>
      </c>
      <c r="C489" s="1">
        <v>59860</v>
      </c>
    </row>
    <row r="490" spans="1:3" x14ac:dyDescent="0.3">
      <c r="A490">
        <v>3520.5</v>
      </c>
      <c r="B490" s="1">
        <v>38021.399999999994</v>
      </c>
      <c r="C490" s="1">
        <v>27459.899999999998</v>
      </c>
    </row>
    <row r="491" spans="1:3" x14ac:dyDescent="0.3">
      <c r="A491">
        <v>2039</v>
      </c>
      <c r="B491" s="1">
        <v>36702</v>
      </c>
      <c r="C491" s="1">
        <v>16312</v>
      </c>
    </row>
    <row r="492" spans="1:3" x14ac:dyDescent="0.3">
      <c r="A492">
        <v>2574</v>
      </c>
      <c r="B492" s="1">
        <v>27799.200000000001</v>
      </c>
      <c r="C492" s="1">
        <v>20077.2</v>
      </c>
    </row>
    <row r="493" spans="1:3" x14ac:dyDescent="0.3">
      <c r="A493">
        <v>707</v>
      </c>
      <c r="B493" s="1">
        <v>222705</v>
      </c>
      <c r="C493" s="1">
        <v>38885</v>
      </c>
    </row>
    <row r="494" spans="1:3" x14ac:dyDescent="0.3">
      <c r="A494">
        <v>2072</v>
      </c>
      <c r="B494" s="1">
        <v>27972</v>
      </c>
      <c r="C494" s="1">
        <v>7252</v>
      </c>
    </row>
    <row r="495" spans="1:3" x14ac:dyDescent="0.3">
      <c r="A495">
        <v>853</v>
      </c>
      <c r="B495" s="1">
        <v>230310</v>
      </c>
      <c r="C495" s="1">
        <v>17060</v>
      </c>
    </row>
    <row r="496" spans="1:3" x14ac:dyDescent="0.3">
      <c r="A496">
        <v>1198</v>
      </c>
      <c r="B496" s="1">
        <v>12794.64</v>
      </c>
      <c r="C496" s="1">
        <v>9200.64</v>
      </c>
    </row>
    <row r="497" spans="1:3" x14ac:dyDescent="0.3">
      <c r="A497">
        <v>2532</v>
      </c>
      <c r="B497" s="1">
        <v>15774.36</v>
      </c>
      <c r="C497" s="1">
        <v>3114.3599999999997</v>
      </c>
    </row>
    <row r="498" spans="1:3" x14ac:dyDescent="0.3">
      <c r="A498">
        <v>1198</v>
      </c>
      <c r="B498" s="1">
        <v>12794.64</v>
      </c>
      <c r="C498" s="1">
        <v>9200.64</v>
      </c>
    </row>
    <row r="499" spans="1:3" x14ac:dyDescent="0.3">
      <c r="A499">
        <v>384</v>
      </c>
      <c r="B499" s="1">
        <v>5126.3999999999996</v>
      </c>
      <c r="C499" s="1">
        <v>1286.3999999999999</v>
      </c>
    </row>
    <row r="500" spans="1:3" x14ac:dyDescent="0.3">
      <c r="A500">
        <v>472</v>
      </c>
      <c r="B500" s="1">
        <v>5040.96</v>
      </c>
      <c r="C500" s="1">
        <v>3624.96</v>
      </c>
    </row>
    <row r="501" spans="1:3" x14ac:dyDescent="0.3">
      <c r="A501">
        <v>1579</v>
      </c>
      <c r="B501" s="1">
        <v>9837.17</v>
      </c>
      <c r="C501" s="1">
        <v>1942.17</v>
      </c>
    </row>
    <row r="502" spans="1:3" x14ac:dyDescent="0.3">
      <c r="A502">
        <v>1005</v>
      </c>
      <c r="B502" s="1">
        <v>10733.4</v>
      </c>
      <c r="C502" s="1">
        <v>7718.4</v>
      </c>
    </row>
    <row r="503" spans="1:3" x14ac:dyDescent="0.3">
      <c r="A503">
        <v>3199.5</v>
      </c>
      <c r="B503" s="1">
        <v>42713.324999999997</v>
      </c>
      <c r="C503" s="1">
        <v>10718.324999999999</v>
      </c>
    </row>
    <row r="504" spans="1:3" x14ac:dyDescent="0.3">
      <c r="A504">
        <v>472</v>
      </c>
      <c r="B504" s="1">
        <v>5040.96</v>
      </c>
      <c r="C504" s="1">
        <v>3624.96</v>
      </c>
    </row>
    <row r="505" spans="1:3" x14ac:dyDescent="0.3">
      <c r="A505">
        <v>1937</v>
      </c>
      <c r="B505" s="1">
        <v>20687.16</v>
      </c>
      <c r="C505" s="1">
        <v>14876.16</v>
      </c>
    </row>
    <row r="506" spans="1:3" x14ac:dyDescent="0.3">
      <c r="A506">
        <v>792</v>
      </c>
      <c r="B506" s="1">
        <v>246708</v>
      </c>
      <c r="C506" s="1">
        <v>40788</v>
      </c>
    </row>
    <row r="507" spans="1:3" x14ac:dyDescent="0.3">
      <c r="A507">
        <v>2811</v>
      </c>
      <c r="B507" s="1">
        <v>750537</v>
      </c>
      <c r="C507" s="1">
        <v>47787</v>
      </c>
    </row>
    <row r="508" spans="1:3" x14ac:dyDescent="0.3">
      <c r="A508">
        <v>2441</v>
      </c>
      <c r="B508" s="1">
        <v>271561.25</v>
      </c>
      <c r="C508" s="1">
        <v>-21358.75</v>
      </c>
    </row>
    <row r="509" spans="1:3" x14ac:dyDescent="0.3">
      <c r="A509">
        <v>1560</v>
      </c>
      <c r="B509" s="1">
        <v>20826</v>
      </c>
      <c r="C509" s="1">
        <v>5226</v>
      </c>
    </row>
    <row r="510" spans="1:3" x14ac:dyDescent="0.3">
      <c r="A510">
        <v>2706</v>
      </c>
      <c r="B510" s="1">
        <v>16858.38</v>
      </c>
      <c r="C510" s="1">
        <v>3328.380000000001</v>
      </c>
    </row>
    <row r="511" spans="1:3" x14ac:dyDescent="0.3">
      <c r="A511">
        <v>766</v>
      </c>
      <c r="B511" s="1">
        <v>238609</v>
      </c>
      <c r="C511" s="1">
        <v>39449</v>
      </c>
    </row>
    <row r="512" spans="1:3" x14ac:dyDescent="0.3">
      <c r="A512">
        <v>2992</v>
      </c>
      <c r="B512" s="1">
        <v>53257.599999999999</v>
      </c>
      <c r="C512" s="1">
        <v>23337.599999999999</v>
      </c>
    </row>
    <row r="513" spans="1:3" x14ac:dyDescent="0.3">
      <c r="A513">
        <v>2157</v>
      </c>
      <c r="B513" s="1">
        <v>28795.95</v>
      </c>
      <c r="C513" s="1">
        <v>7225.9500000000007</v>
      </c>
    </row>
    <row r="514" spans="1:3" x14ac:dyDescent="0.3">
      <c r="A514">
        <v>873</v>
      </c>
      <c r="B514" s="1">
        <v>233091</v>
      </c>
      <c r="C514" s="1">
        <v>14841</v>
      </c>
    </row>
    <row r="515" spans="1:3" x14ac:dyDescent="0.3">
      <c r="A515">
        <v>1122</v>
      </c>
      <c r="B515" s="1">
        <v>19971.599999999999</v>
      </c>
      <c r="C515" s="1">
        <v>8751.5999999999985</v>
      </c>
    </row>
    <row r="516" spans="1:3" x14ac:dyDescent="0.3">
      <c r="A516">
        <v>2104.5</v>
      </c>
      <c r="B516" s="1">
        <v>655551.75</v>
      </c>
      <c r="C516" s="1">
        <v>108381.75</v>
      </c>
    </row>
    <row r="517" spans="1:3" x14ac:dyDescent="0.3">
      <c r="A517">
        <v>4026</v>
      </c>
      <c r="B517" s="1">
        <v>42997.68</v>
      </c>
      <c r="C517" s="1">
        <v>30919.68</v>
      </c>
    </row>
    <row r="518" spans="1:3" x14ac:dyDescent="0.3">
      <c r="A518">
        <v>2425.5</v>
      </c>
      <c r="B518" s="1">
        <v>25904.340000000004</v>
      </c>
      <c r="C518" s="1">
        <v>18627.840000000004</v>
      </c>
    </row>
    <row r="519" spans="1:3" x14ac:dyDescent="0.3">
      <c r="A519">
        <v>2394</v>
      </c>
      <c r="B519" s="1">
        <v>42613.2</v>
      </c>
      <c r="C519" s="1">
        <v>18673.199999999997</v>
      </c>
    </row>
    <row r="520" spans="1:3" x14ac:dyDescent="0.3">
      <c r="A520">
        <v>1984</v>
      </c>
      <c r="B520" s="1">
        <v>26486.400000000001</v>
      </c>
      <c r="C520" s="1">
        <v>6646.4000000000015</v>
      </c>
    </row>
    <row r="521" spans="1:3" x14ac:dyDescent="0.3">
      <c r="A521">
        <v>2441</v>
      </c>
      <c r="B521" s="1">
        <v>271561.25</v>
      </c>
      <c r="C521" s="1">
        <v>-21358.75</v>
      </c>
    </row>
    <row r="522" spans="1:3" x14ac:dyDescent="0.3">
      <c r="A522">
        <v>2992</v>
      </c>
      <c r="B522" s="1">
        <v>53257.599999999999</v>
      </c>
      <c r="C522" s="1">
        <v>23337.599999999999</v>
      </c>
    </row>
    <row r="523" spans="1:3" x14ac:dyDescent="0.3">
      <c r="A523">
        <v>1366</v>
      </c>
      <c r="B523" s="1">
        <v>364722</v>
      </c>
      <c r="C523" s="1">
        <v>23222</v>
      </c>
    </row>
    <row r="524" spans="1:3" x14ac:dyDescent="0.3">
      <c r="A524">
        <v>2805</v>
      </c>
      <c r="B524" s="1">
        <v>49929</v>
      </c>
      <c r="C524" s="1">
        <v>21879</v>
      </c>
    </row>
    <row r="525" spans="1:3" x14ac:dyDescent="0.3">
      <c r="A525">
        <v>655</v>
      </c>
      <c r="B525" s="1">
        <v>8744.25</v>
      </c>
      <c r="C525" s="1">
        <v>2194.25</v>
      </c>
    </row>
    <row r="526" spans="1:3" x14ac:dyDescent="0.3">
      <c r="A526">
        <v>344</v>
      </c>
      <c r="B526" s="1">
        <v>107156</v>
      </c>
      <c r="C526" s="1">
        <v>17716</v>
      </c>
    </row>
    <row r="527" spans="1:3" x14ac:dyDescent="0.3">
      <c r="A527">
        <v>1808</v>
      </c>
      <c r="B527" s="1">
        <v>11263.84</v>
      </c>
      <c r="C527" s="1">
        <v>2223.84</v>
      </c>
    </row>
    <row r="528" spans="1:3" x14ac:dyDescent="0.3">
      <c r="A528">
        <v>1734</v>
      </c>
      <c r="B528" s="1">
        <v>18519.12</v>
      </c>
      <c r="C528" s="1">
        <v>13317.119999999999</v>
      </c>
    </row>
    <row r="529" spans="1:3" x14ac:dyDescent="0.3">
      <c r="A529">
        <v>554</v>
      </c>
      <c r="B529" s="1">
        <v>61632.5</v>
      </c>
      <c r="C529" s="1">
        <v>-4847.5</v>
      </c>
    </row>
    <row r="530" spans="1:3" x14ac:dyDescent="0.3">
      <c r="A530">
        <v>2935</v>
      </c>
      <c r="B530" s="1">
        <v>52243</v>
      </c>
      <c r="C530" s="1">
        <v>22893</v>
      </c>
    </row>
    <row r="531" spans="1:3" x14ac:dyDescent="0.3">
      <c r="A531">
        <v>3165</v>
      </c>
      <c r="B531" s="1">
        <v>352106.25</v>
      </c>
      <c r="C531" s="1">
        <v>-27693.75</v>
      </c>
    </row>
    <row r="532" spans="1:3" x14ac:dyDescent="0.3">
      <c r="A532">
        <v>2629</v>
      </c>
      <c r="B532" s="1">
        <v>46796.2</v>
      </c>
      <c r="C532" s="1">
        <v>20506.199999999997</v>
      </c>
    </row>
    <row r="533" spans="1:3" x14ac:dyDescent="0.3">
      <c r="A533">
        <v>1433</v>
      </c>
      <c r="B533" s="1">
        <v>159421.25</v>
      </c>
      <c r="C533" s="1">
        <v>-12538.75</v>
      </c>
    </row>
    <row r="534" spans="1:3" x14ac:dyDescent="0.3">
      <c r="A534">
        <v>947</v>
      </c>
      <c r="B534" s="1">
        <v>105353.75</v>
      </c>
      <c r="C534" s="1">
        <v>-8286.25</v>
      </c>
    </row>
    <row r="535" spans="1:3" x14ac:dyDescent="0.3">
      <c r="A535">
        <v>344</v>
      </c>
      <c r="B535" s="1">
        <v>107156</v>
      </c>
      <c r="C535" s="1">
        <v>17716</v>
      </c>
    </row>
    <row r="536" spans="1:3" x14ac:dyDescent="0.3">
      <c r="A536">
        <v>2157</v>
      </c>
      <c r="B536" s="1">
        <v>28795.95</v>
      </c>
      <c r="C536" s="1">
        <v>7225.9500000000007</v>
      </c>
    </row>
    <row r="537" spans="1:3" x14ac:dyDescent="0.3">
      <c r="A537">
        <v>380</v>
      </c>
      <c r="B537" s="1">
        <v>2367.4</v>
      </c>
      <c r="C537" s="1">
        <v>467.40000000000009</v>
      </c>
    </row>
    <row r="538" spans="1:3" x14ac:dyDescent="0.3">
      <c r="A538">
        <v>886</v>
      </c>
      <c r="B538" s="1">
        <v>272888</v>
      </c>
      <c r="C538" s="1">
        <v>42528</v>
      </c>
    </row>
    <row r="539" spans="1:3" x14ac:dyDescent="0.3">
      <c r="A539">
        <v>2416</v>
      </c>
      <c r="B539" s="1">
        <v>265760</v>
      </c>
      <c r="C539" s="1">
        <v>-24160</v>
      </c>
    </row>
    <row r="540" spans="1:3" x14ac:dyDescent="0.3">
      <c r="A540">
        <v>2156</v>
      </c>
      <c r="B540" s="1">
        <v>237160</v>
      </c>
      <c r="C540" s="1">
        <v>-21560</v>
      </c>
    </row>
    <row r="541" spans="1:3" x14ac:dyDescent="0.3">
      <c r="A541">
        <v>2689</v>
      </c>
      <c r="B541" s="1">
        <v>35494.800000000003</v>
      </c>
      <c r="C541" s="1">
        <v>8604.8000000000029</v>
      </c>
    </row>
    <row r="542" spans="1:3" x14ac:dyDescent="0.3">
      <c r="A542">
        <v>677</v>
      </c>
      <c r="B542" s="1">
        <v>8936.4</v>
      </c>
      <c r="C542" s="1">
        <v>2166.3999999999996</v>
      </c>
    </row>
    <row r="543" spans="1:3" x14ac:dyDescent="0.3">
      <c r="A543">
        <v>1773</v>
      </c>
      <c r="B543" s="1">
        <v>468072</v>
      </c>
      <c r="C543" s="1">
        <v>24822</v>
      </c>
    </row>
    <row r="544" spans="1:3" x14ac:dyDescent="0.3">
      <c r="A544">
        <v>2420</v>
      </c>
      <c r="B544" s="1">
        <v>14907.2</v>
      </c>
      <c r="C544" s="1">
        <v>2807.2000000000007</v>
      </c>
    </row>
    <row r="545" spans="1:3" x14ac:dyDescent="0.3">
      <c r="A545">
        <v>2734</v>
      </c>
      <c r="B545" s="1">
        <v>16841.439999999999</v>
      </c>
      <c r="C545" s="1">
        <v>3171.4399999999987</v>
      </c>
    </row>
    <row r="546" spans="1:3" x14ac:dyDescent="0.3">
      <c r="A546">
        <v>1715</v>
      </c>
      <c r="B546" s="1">
        <v>30184</v>
      </c>
      <c r="C546" s="1">
        <v>13034</v>
      </c>
    </row>
    <row r="547" spans="1:3" x14ac:dyDescent="0.3">
      <c r="A547">
        <v>1186</v>
      </c>
      <c r="B547" s="1">
        <v>313104</v>
      </c>
      <c r="C547" s="1">
        <v>16604</v>
      </c>
    </row>
    <row r="548" spans="1:3" x14ac:dyDescent="0.3">
      <c r="A548">
        <v>3495</v>
      </c>
      <c r="B548" s="1">
        <v>922680</v>
      </c>
      <c r="C548" s="1">
        <v>48930</v>
      </c>
    </row>
    <row r="549" spans="1:3" x14ac:dyDescent="0.3">
      <c r="A549">
        <v>886</v>
      </c>
      <c r="B549" s="1">
        <v>272888</v>
      </c>
      <c r="C549" s="1">
        <v>42528</v>
      </c>
    </row>
    <row r="550" spans="1:3" x14ac:dyDescent="0.3">
      <c r="A550">
        <v>2156</v>
      </c>
      <c r="B550" s="1">
        <v>237160</v>
      </c>
      <c r="C550" s="1">
        <v>-21560</v>
      </c>
    </row>
    <row r="551" spans="1:3" x14ac:dyDescent="0.3">
      <c r="A551">
        <v>905</v>
      </c>
      <c r="B551" s="1">
        <v>15928</v>
      </c>
      <c r="C551" s="1">
        <v>6878</v>
      </c>
    </row>
    <row r="552" spans="1:3" x14ac:dyDescent="0.3">
      <c r="A552">
        <v>1715</v>
      </c>
      <c r="B552" s="1">
        <v>30184</v>
      </c>
      <c r="C552" s="1">
        <v>13034</v>
      </c>
    </row>
    <row r="553" spans="1:3" x14ac:dyDescent="0.3">
      <c r="A553">
        <v>1594</v>
      </c>
      <c r="B553" s="1">
        <v>490952</v>
      </c>
      <c r="C553" s="1">
        <v>76512</v>
      </c>
    </row>
    <row r="554" spans="1:3" x14ac:dyDescent="0.3">
      <c r="A554">
        <v>1359</v>
      </c>
      <c r="B554" s="1">
        <v>358776</v>
      </c>
      <c r="C554" s="1">
        <v>19026</v>
      </c>
    </row>
    <row r="555" spans="1:3" x14ac:dyDescent="0.3">
      <c r="A555">
        <v>2150</v>
      </c>
      <c r="B555" s="1">
        <v>567600</v>
      </c>
      <c r="C555" s="1">
        <v>30100</v>
      </c>
    </row>
    <row r="556" spans="1:3" x14ac:dyDescent="0.3">
      <c r="A556">
        <v>1197</v>
      </c>
      <c r="B556" s="1">
        <v>368676</v>
      </c>
      <c r="C556" s="1">
        <v>57456</v>
      </c>
    </row>
    <row r="557" spans="1:3" x14ac:dyDescent="0.3">
      <c r="A557">
        <v>380</v>
      </c>
      <c r="B557" s="1">
        <v>5016</v>
      </c>
      <c r="C557" s="1">
        <v>1216</v>
      </c>
    </row>
    <row r="558" spans="1:3" x14ac:dyDescent="0.3">
      <c r="A558">
        <v>1233</v>
      </c>
      <c r="B558" s="1">
        <v>21700.799999999999</v>
      </c>
      <c r="C558" s="1">
        <v>9370.7999999999993</v>
      </c>
    </row>
    <row r="559" spans="1:3" x14ac:dyDescent="0.3">
      <c r="A559">
        <v>1395</v>
      </c>
      <c r="B559" s="1">
        <v>429660</v>
      </c>
      <c r="C559" s="1">
        <v>66960</v>
      </c>
    </row>
    <row r="560" spans="1:3" x14ac:dyDescent="0.3">
      <c r="A560">
        <v>986</v>
      </c>
      <c r="B560" s="1">
        <v>303688</v>
      </c>
      <c r="C560" s="1">
        <v>47328</v>
      </c>
    </row>
    <row r="561" spans="1:3" x14ac:dyDescent="0.3">
      <c r="A561">
        <v>905</v>
      </c>
      <c r="B561" s="1">
        <v>15928</v>
      </c>
      <c r="C561" s="1">
        <v>6878</v>
      </c>
    </row>
    <row r="562" spans="1:3" x14ac:dyDescent="0.3">
      <c r="A562">
        <v>2109</v>
      </c>
      <c r="B562" s="1">
        <v>22271.040000000001</v>
      </c>
      <c r="C562" s="1">
        <v>15944.04</v>
      </c>
    </row>
    <row r="563" spans="1:3" x14ac:dyDescent="0.3">
      <c r="A563">
        <v>3874.5</v>
      </c>
      <c r="B563" s="1">
        <v>51143.399999999994</v>
      </c>
      <c r="C563" s="1">
        <v>12398.399999999998</v>
      </c>
    </row>
    <row r="564" spans="1:3" x14ac:dyDescent="0.3">
      <c r="A564">
        <v>623</v>
      </c>
      <c r="B564" s="1">
        <v>191884</v>
      </c>
      <c r="C564" s="1">
        <v>29904</v>
      </c>
    </row>
    <row r="565" spans="1:3" x14ac:dyDescent="0.3">
      <c r="A565">
        <v>986</v>
      </c>
      <c r="B565" s="1">
        <v>303688</v>
      </c>
      <c r="C565" s="1">
        <v>47328</v>
      </c>
    </row>
    <row r="566" spans="1:3" x14ac:dyDescent="0.3">
      <c r="A566">
        <v>2387</v>
      </c>
      <c r="B566" s="1">
        <v>262570</v>
      </c>
      <c r="C566" s="1">
        <v>-23870</v>
      </c>
    </row>
    <row r="567" spans="1:3" x14ac:dyDescent="0.3">
      <c r="A567">
        <v>1233</v>
      </c>
      <c r="B567" s="1">
        <v>21700.799999999999</v>
      </c>
      <c r="C567" s="1">
        <v>9370.7999999999993</v>
      </c>
    </row>
    <row r="568" spans="1:3" x14ac:dyDescent="0.3">
      <c r="A568">
        <v>270</v>
      </c>
      <c r="B568" s="1">
        <v>83160</v>
      </c>
      <c r="C568" s="1">
        <v>12960</v>
      </c>
    </row>
    <row r="569" spans="1:3" x14ac:dyDescent="0.3">
      <c r="A569">
        <v>3421.5</v>
      </c>
      <c r="B569" s="1">
        <v>21076.44</v>
      </c>
      <c r="C569" s="1">
        <v>3968.9399999999987</v>
      </c>
    </row>
    <row r="570" spans="1:3" x14ac:dyDescent="0.3">
      <c r="A570">
        <v>2734</v>
      </c>
      <c r="B570" s="1">
        <v>16841.439999999999</v>
      </c>
      <c r="C570" s="1">
        <v>3171.4399999999987</v>
      </c>
    </row>
    <row r="571" spans="1:3" x14ac:dyDescent="0.3">
      <c r="A571">
        <v>2548</v>
      </c>
      <c r="B571" s="1">
        <v>33633.599999999999</v>
      </c>
      <c r="C571" s="1">
        <v>8153.5999999999985</v>
      </c>
    </row>
    <row r="572" spans="1:3" x14ac:dyDescent="0.3">
      <c r="A572">
        <v>2521.5</v>
      </c>
      <c r="B572" s="1">
        <v>44378.399999999994</v>
      </c>
      <c r="C572" s="1">
        <v>19163.399999999998</v>
      </c>
    </row>
    <row r="573" spans="1:3" x14ac:dyDescent="0.3">
      <c r="A573">
        <v>2661</v>
      </c>
      <c r="B573" s="1">
        <v>28100.16</v>
      </c>
      <c r="C573" s="1">
        <v>20117.16</v>
      </c>
    </row>
    <row r="574" spans="1:3" x14ac:dyDescent="0.3">
      <c r="A574">
        <v>1531</v>
      </c>
      <c r="B574" s="1">
        <v>26945.599999999999</v>
      </c>
      <c r="C574" s="1">
        <v>11635.599999999999</v>
      </c>
    </row>
    <row r="575" spans="1:3" x14ac:dyDescent="0.3">
      <c r="A575">
        <v>1491</v>
      </c>
      <c r="B575" s="1">
        <v>9184.56</v>
      </c>
      <c r="C575" s="1">
        <v>1729.5599999999995</v>
      </c>
    </row>
    <row r="576" spans="1:3" x14ac:dyDescent="0.3">
      <c r="A576">
        <v>1531</v>
      </c>
      <c r="B576" s="1">
        <v>26945.599999999999</v>
      </c>
      <c r="C576" s="1">
        <v>11635.599999999999</v>
      </c>
    </row>
    <row r="577" spans="1:3" x14ac:dyDescent="0.3">
      <c r="A577">
        <v>2761</v>
      </c>
      <c r="B577" s="1">
        <v>29156.16</v>
      </c>
      <c r="C577" s="1">
        <v>20873.16</v>
      </c>
    </row>
    <row r="578" spans="1:3" x14ac:dyDescent="0.3">
      <c r="A578">
        <v>2567</v>
      </c>
      <c r="B578" s="1">
        <v>33499.35</v>
      </c>
      <c r="C578" s="1">
        <v>7829.3499999999985</v>
      </c>
    </row>
    <row r="579" spans="1:3" x14ac:dyDescent="0.3">
      <c r="A579">
        <v>2567</v>
      </c>
      <c r="B579" s="1">
        <v>33499.35</v>
      </c>
      <c r="C579" s="1">
        <v>7829.3499999999985</v>
      </c>
    </row>
    <row r="580" spans="1:3" x14ac:dyDescent="0.3">
      <c r="A580">
        <v>923</v>
      </c>
      <c r="B580" s="1">
        <v>281053.5</v>
      </c>
      <c r="C580" s="1">
        <v>41073.5</v>
      </c>
    </row>
    <row r="581" spans="1:3" x14ac:dyDescent="0.3">
      <c r="A581">
        <v>1790</v>
      </c>
      <c r="B581" s="1">
        <v>545055</v>
      </c>
      <c r="C581" s="1">
        <v>79655</v>
      </c>
    </row>
    <row r="582" spans="1:3" x14ac:dyDescent="0.3">
      <c r="A582">
        <v>442</v>
      </c>
      <c r="B582" s="1">
        <v>7690.8</v>
      </c>
      <c r="C582" s="1">
        <v>3270.8</v>
      </c>
    </row>
    <row r="583" spans="1:3" x14ac:dyDescent="0.3">
      <c r="A583">
        <v>982.5</v>
      </c>
      <c r="B583" s="1">
        <v>299171.25</v>
      </c>
      <c r="C583" s="1">
        <v>43721.25</v>
      </c>
    </row>
    <row r="584" spans="1:3" x14ac:dyDescent="0.3">
      <c r="A584">
        <v>1298</v>
      </c>
      <c r="B584" s="1">
        <v>7904.82</v>
      </c>
      <c r="C584" s="1">
        <v>1414.8199999999997</v>
      </c>
    </row>
    <row r="585" spans="1:3" x14ac:dyDescent="0.3">
      <c r="A585">
        <v>604</v>
      </c>
      <c r="B585" s="1">
        <v>6305.76</v>
      </c>
      <c r="C585" s="1">
        <v>4493.76</v>
      </c>
    </row>
    <row r="586" spans="1:3" x14ac:dyDescent="0.3">
      <c r="A586">
        <v>2255</v>
      </c>
      <c r="B586" s="1">
        <v>39237</v>
      </c>
      <c r="C586" s="1">
        <v>16687</v>
      </c>
    </row>
    <row r="587" spans="1:3" x14ac:dyDescent="0.3">
      <c r="A587">
        <v>1249</v>
      </c>
      <c r="B587" s="1">
        <v>21732.6</v>
      </c>
      <c r="C587" s="1">
        <v>9242.5999999999985</v>
      </c>
    </row>
    <row r="588" spans="1:3" x14ac:dyDescent="0.3">
      <c r="A588">
        <v>1438.5</v>
      </c>
      <c r="B588" s="1">
        <v>8760.4650000000001</v>
      </c>
      <c r="C588" s="1">
        <v>1567.9649999999992</v>
      </c>
    </row>
    <row r="589" spans="1:3" x14ac:dyDescent="0.3">
      <c r="A589">
        <v>807</v>
      </c>
      <c r="B589" s="1">
        <v>210627</v>
      </c>
      <c r="C589" s="1">
        <v>8877</v>
      </c>
    </row>
    <row r="590" spans="1:3" x14ac:dyDescent="0.3">
      <c r="A590">
        <v>2641</v>
      </c>
      <c r="B590" s="1">
        <v>45953.4</v>
      </c>
      <c r="C590" s="1">
        <v>19543.400000000001</v>
      </c>
    </row>
    <row r="591" spans="1:3" x14ac:dyDescent="0.3">
      <c r="A591">
        <v>2708</v>
      </c>
      <c r="B591" s="1">
        <v>47119.199999999997</v>
      </c>
      <c r="C591" s="1">
        <v>20039.199999999997</v>
      </c>
    </row>
    <row r="592" spans="1:3" x14ac:dyDescent="0.3">
      <c r="A592">
        <v>2632</v>
      </c>
      <c r="B592" s="1">
        <v>801444</v>
      </c>
      <c r="C592" s="1">
        <v>117124</v>
      </c>
    </row>
    <row r="593" spans="1:3" x14ac:dyDescent="0.3">
      <c r="A593">
        <v>1583</v>
      </c>
      <c r="B593" s="1">
        <v>172151.25</v>
      </c>
      <c r="C593" s="1">
        <v>-17808.75</v>
      </c>
    </row>
    <row r="594" spans="1:3" x14ac:dyDescent="0.3">
      <c r="A594">
        <v>571</v>
      </c>
      <c r="B594" s="1">
        <v>5961.24</v>
      </c>
      <c r="C594" s="1">
        <v>4248.24</v>
      </c>
    </row>
    <row r="595" spans="1:3" x14ac:dyDescent="0.3">
      <c r="A595">
        <v>2696</v>
      </c>
      <c r="B595" s="1">
        <v>16418.64</v>
      </c>
      <c r="C595" s="1">
        <v>2938.6399999999994</v>
      </c>
    </row>
    <row r="596" spans="1:3" x14ac:dyDescent="0.3">
      <c r="A596">
        <v>1565</v>
      </c>
      <c r="B596" s="1">
        <v>20423.25</v>
      </c>
      <c r="C596" s="1">
        <v>4773.25</v>
      </c>
    </row>
    <row r="597" spans="1:3" x14ac:dyDescent="0.3">
      <c r="A597">
        <v>1249</v>
      </c>
      <c r="B597" s="1">
        <v>21732.6</v>
      </c>
      <c r="C597" s="1">
        <v>9242.5999999999985</v>
      </c>
    </row>
    <row r="598" spans="1:3" x14ac:dyDescent="0.3">
      <c r="A598">
        <v>357</v>
      </c>
      <c r="B598" s="1">
        <v>108706.5</v>
      </c>
      <c r="C598" s="1">
        <v>15886.5</v>
      </c>
    </row>
    <row r="599" spans="1:3" x14ac:dyDescent="0.3">
      <c r="A599">
        <v>1013</v>
      </c>
      <c r="B599" s="1">
        <v>10575.72</v>
      </c>
      <c r="C599" s="1">
        <v>7536.7199999999993</v>
      </c>
    </row>
    <row r="600" spans="1:3" x14ac:dyDescent="0.3">
      <c r="A600">
        <v>3997.5</v>
      </c>
      <c r="B600" s="1">
        <v>52167.375</v>
      </c>
      <c r="C600" s="1">
        <v>12192.375</v>
      </c>
    </row>
    <row r="601" spans="1:3" x14ac:dyDescent="0.3">
      <c r="A601">
        <v>2632</v>
      </c>
      <c r="B601" s="1">
        <v>801444</v>
      </c>
      <c r="C601" s="1">
        <v>117124</v>
      </c>
    </row>
    <row r="602" spans="1:3" x14ac:dyDescent="0.3">
      <c r="A602">
        <v>1190</v>
      </c>
      <c r="B602" s="1">
        <v>7247.1</v>
      </c>
      <c r="C602" s="1">
        <v>1297.1000000000004</v>
      </c>
    </row>
    <row r="603" spans="1:3" x14ac:dyDescent="0.3">
      <c r="A603">
        <v>604</v>
      </c>
      <c r="B603" s="1">
        <v>6305.76</v>
      </c>
      <c r="C603" s="1">
        <v>4493.76</v>
      </c>
    </row>
    <row r="604" spans="1:3" x14ac:dyDescent="0.3">
      <c r="A604">
        <v>660</v>
      </c>
      <c r="B604" s="1">
        <v>8613</v>
      </c>
      <c r="C604" s="1">
        <v>2013</v>
      </c>
    </row>
    <row r="605" spans="1:3" x14ac:dyDescent="0.3">
      <c r="A605">
        <v>410</v>
      </c>
      <c r="B605" s="1">
        <v>4280.3999999999996</v>
      </c>
      <c r="C605" s="1">
        <v>3050.3999999999996</v>
      </c>
    </row>
    <row r="606" spans="1:3" x14ac:dyDescent="0.3">
      <c r="A606">
        <v>2605</v>
      </c>
      <c r="B606" s="1">
        <v>679905</v>
      </c>
      <c r="C606" s="1">
        <v>28655</v>
      </c>
    </row>
    <row r="607" spans="1:3" x14ac:dyDescent="0.3">
      <c r="A607">
        <v>1013</v>
      </c>
      <c r="B607" s="1">
        <v>10575.72</v>
      </c>
      <c r="C607" s="1">
        <v>7536.7199999999993</v>
      </c>
    </row>
    <row r="608" spans="1:3" x14ac:dyDescent="0.3">
      <c r="A608">
        <v>1583</v>
      </c>
      <c r="B608" s="1">
        <v>172151.25</v>
      </c>
      <c r="C608" s="1">
        <v>-17808.75</v>
      </c>
    </row>
    <row r="609" spans="1:3" x14ac:dyDescent="0.3">
      <c r="A609">
        <v>1565</v>
      </c>
      <c r="B609" s="1">
        <v>20423.25</v>
      </c>
      <c r="C609" s="1">
        <v>4773.25</v>
      </c>
    </row>
    <row r="610" spans="1:3" x14ac:dyDescent="0.3">
      <c r="A610">
        <v>1659</v>
      </c>
      <c r="B610" s="1">
        <v>180416.25</v>
      </c>
      <c r="C610" s="1">
        <v>-18663.75</v>
      </c>
    </row>
    <row r="611" spans="1:3" x14ac:dyDescent="0.3">
      <c r="A611">
        <v>1190</v>
      </c>
      <c r="B611" s="1">
        <v>7247.1</v>
      </c>
      <c r="C611" s="1">
        <v>1297.1000000000004</v>
      </c>
    </row>
    <row r="612" spans="1:3" x14ac:dyDescent="0.3">
      <c r="A612">
        <v>410</v>
      </c>
      <c r="B612" s="1">
        <v>4280.3999999999996</v>
      </c>
      <c r="C612" s="1">
        <v>3050.3999999999996</v>
      </c>
    </row>
    <row r="613" spans="1:3" x14ac:dyDescent="0.3">
      <c r="A613">
        <v>1770</v>
      </c>
      <c r="B613" s="1">
        <v>18478.8</v>
      </c>
      <c r="C613" s="1">
        <v>13168.8</v>
      </c>
    </row>
    <row r="614" spans="1:3" x14ac:dyDescent="0.3">
      <c r="A614">
        <v>2579</v>
      </c>
      <c r="B614" s="1">
        <v>44358.8</v>
      </c>
      <c r="C614" s="1">
        <v>18568.800000000003</v>
      </c>
    </row>
    <row r="615" spans="1:3" x14ac:dyDescent="0.3">
      <c r="A615">
        <v>1743</v>
      </c>
      <c r="B615" s="1">
        <v>29979.599999999999</v>
      </c>
      <c r="C615" s="1">
        <v>12549.599999999999</v>
      </c>
    </row>
    <row r="616" spans="1:3" x14ac:dyDescent="0.3">
      <c r="A616">
        <v>2996</v>
      </c>
      <c r="B616" s="1">
        <v>18035.919999999998</v>
      </c>
      <c r="C616" s="1">
        <v>3055.9199999999983</v>
      </c>
    </row>
    <row r="617" spans="1:3" x14ac:dyDescent="0.3">
      <c r="A617">
        <v>280</v>
      </c>
      <c r="B617" s="1">
        <v>1685.6</v>
      </c>
      <c r="C617" s="1">
        <v>285.59999999999991</v>
      </c>
    </row>
    <row r="618" spans="1:3" x14ac:dyDescent="0.3">
      <c r="A618">
        <v>293</v>
      </c>
      <c r="B618" s="1">
        <v>1763.8600000000001</v>
      </c>
      <c r="C618" s="1">
        <v>298.86000000000013</v>
      </c>
    </row>
    <row r="619" spans="1:3" x14ac:dyDescent="0.3">
      <c r="A619">
        <v>2996</v>
      </c>
      <c r="B619" s="1">
        <v>18035.919999999998</v>
      </c>
      <c r="C619" s="1">
        <v>3055.9199999999983</v>
      </c>
    </row>
    <row r="620" spans="1:3" x14ac:dyDescent="0.3">
      <c r="A620">
        <v>278</v>
      </c>
      <c r="B620" s="1">
        <v>3586.2</v>
      </c>
      <c r="C620" s="1">
        <v>806.19999999999982</v>
      </c>
    </row>
    <row r="621" spans="1:3" x14ac:dyDescent="0.3">
      <c r="A621">
        <v>2428</v>
      </c>
      <c r="B621" s="1">
        <v>41761.599999999999</v>
      </c>
      <c r="C621" s="1">
        <v>17481.599999999999</v>
      </c>
    </row>
    <row r="622" spans="1:3" x14ac:dyDescent="0.3">
      <c r="A622">
        <v>1767</v>
      </c>
      <c r="B622" s="1">
        <v>22794.3</v>
      </c>
      <c r="C622" s="1">
        <v>5124.2999999999993</v>
      </c>
    </row>
    <row r="623" spans="1:3" x14ac:dyDescent="0.3">
      <c r="A623">
        <v>1393</v>
      </c>
      <c r="B623" s="1">
        <v>14375.76</v>
      </c>
      <c r="C623" s="1">
        <v>10196.76</v>
      </c>
    </row>
    <row r="624" spans="1:3" x14ac:dyDescent="0.3">
      <c r="A624">
        <v>280</v>
      </c>
      <c r="B624" s="1">
        <v>1685.6</v>
      </c>
      <c r="C624" s="1">
        <v>285.59999999999991</v>
      </c>
    </row>
    <row r="625" spans="1:3" x14ac:dyDescent="0.3">
      <c r="A625">
        <v>1393</v>
      </c>
      <c r="B625" s="1">
        <v>14375.76</v>
      </c>
      <c r="C625" s="1">
        <v>10196.76</v>
      </c>
    </row>
    <row r="626" spans="1:3" x14ac:dyDescent="0.3">
      <c r="A626">
        <v>2015</v>
      </c>
      <c r="B626" s="1">
        <v>20794.8</v>
      </c>
      <c r="C626" s="1">
        <v>14749.8</v>
      </c>
    </row>
    <row r="627" spans="1:3" x14ac:dyDescent="0.3">
      <c r="A627">
        <v>801</v>
      </c>
      <c r="B627" s="1">
        <v>206658</v>
      </c>
      <c r="C627" s="1">
        <v>6408</v>
      </c>
    </row>
    <row r="628" spans="1:3" x14ac:dyDescent="0.3">
      <c r="A628">
        <v>1023</v>
      </c>
      <c r="B628" s="1">
        <v>109972.5</v>
      </c>
      <c r="C628" s="1">
        <v>-12787.5</v>
      </c>
    </row>
    <row r="629" spans="1:3" x14ac:dyDescent="0.3">
      <c r="A629">
        <v>1496</v>
      </c>
      <c r="B629" s="1">
        <v>385968</v>
      </c>
      <c r="C629" s="1">
        <v>11968</v>
      </c>
    </row>
    <row r="630" spans="1:3" x14ac:dyDescent="0.3">
      <c r="A630">
        <v>1010</v>
      </c>
      <c r="B630" s="1">
        <v>260580</v>
      </c>
      <c r="C630" s="1">
        <v>8080</v>
      </c>
    </row>
    <row r="631" spans="1:3" x14ac:dyDescent="0.3">
      <c r="A631">
        <v>1513</v>
      </c>
      <c r="B631" s="1">
        <v>19517.7</v>
      </c>
      <c r="C631" s="1">
        <v>4387.7000000000007</v>
      </c>
    </row>
    <row r="632" spans="1:3" x14ac:dyDescent="0.3">
      <c r="A632">
        <v>2300</v>
      </c>
      <c r="B632" s="1">
        <v>29670</v>
      </c>
      <c r="C632" s="1">
        <v>6670</v>
      </c>
    </row>
    <row r="633" spans="1:3" x14ac:dyDescent="0.3">
      <c r="A633">
        <v>2821</v>
      </c>
      <c r="B633" s="1">
        <v>303257.5</v>
      </c>
      <c r="C633" s="1">
        <v>-35262.5</v>
      </c>
    </row>
    <row r="634" spans="1:3" x14ac:dyDescent="0.3">
      <c r="A634">
        <v>2227.5</v>
      </c>
      <c r="B634" s="1">
        <v>670477.5</v>
      </c>
      <c r="C634" s="1">
        <v>91327.5</v>
      </c>
    </row>
    <row r="635" spans="1:3" x14ac:dyDescent="0.3">
      <c r="A635">
        <v>1199</v>
      </c>
      <c r="B635" s="1">
        <v>360899</v>
      </c>
      <c r="C635" s="1">
        <v>49159</v>
      </c>
    </row>
    <row r="636" spans="1:3" x14ac:dyDescent="0.3">
      <c r="A636">
        <v>200</v>
      </c>
      <c r="B636" s="1">
        <v>60200</v>
      </c>
      <c r="C636" s="1">
        <v>8200</v>
      </c>
    </row>
    <row r="637" spans="1:3" x14ac:dyDescent="0.3">
      <c r="A637">
        <v>388</v>
      </c>
      <c r="B637" s="1">
        <v>2335.7600000000002</v>
      </c>
      <c r="C637" s="1">
        <v>395.76000000000022</v>
      </c>
    </row>
    <row r="638" spans="1:3" x14ac:dyDescent="0.3">
      <c r="A638">
        <v>1727</v>
      </c>
      <c r="B638" s="1">
        <v>10396.540000000001</v>
      </c>
      <c r="C638" s="1">
        <v>1761.5400000000009</v>
      </c>
    </row>
    <row r="639" spans="1:3" x14ac:dyDescent="0.3">
      <c r="A639">
        <v>2300</v>
      </c>
      <c r="B639" s="1">
        <v>29670</v>
      </c>
      <c r="C639" s="1">
        <v>6670</v>
      </c>
    </row>
    <row r="640" spans="1:3" x14ac:dyDescent="0.3">
      <c r="A640">
        <v>260</v>
      </c>
      <c r="B640" s="1">
        <v>4472</v>
      </c>
      <c r="C640" s="1">
        <v>1872</v>
      </c>
    </row>
    <row r="641" spans="1:3" x14ac:dyDescent="0.3">
      <c r="A641">
        <v>2470</v>
      </c>
      <c r="B641" s="1">
        <v>31863</v>
      </c>
      <c r="C641" s="1">
        <v>7163</v>
      </c>
    </row>
    <row r="642" spans="1:3" x14ac:dyDescent="0.3">
      <c r="A642">
        <v>1743</v>
      </c>
      <c r="B642" s="1">
        <v>22484.7</v>
      </c>
      <c r="C642" s="1">
        <v>5054.7000000000007</v>
      </c>
    </row>
    <row r="643" spans="1:3" x14ac:dyDescent="0.3">
      <c r="A643">
        <v>2914</v>
      </c>
      <c r="B643" s="1">
        <v>30072.48</v>
      </c>
      <c r="C643" s="1">
        <v>21330.48</v>
      </c>
    </row>
    <row r="644" spans="1:3" x14ac:dyDescent="0.3">
      <c r="A644">
        <v>1731</v>
      </c>
      <c r="B644" s="1">
        <v>10420.619999999999</v>
      </c>
      <c r="C644" s="1">
        <v>1765.619999999999</v>
      </c>
    </row>
    <row r="645" spans="1:3" x14ac:dyDescent="0.3">
      <c r="A645">
        <v>700</v>
      </c>
      <c r="B645" s="1">
        <v>210700</v>
      </c>
      <c r="C645" s="1">
        <v>28700</v>
      </c>
    </row>
    <row r="646" spans="1:3" x14ac:dyDescent="0.3">
      <c r="A646">
        <v>2222</v>
      </c>
      <c r="B646" s="1">
        <v>22931.040000000001</v>
      </c>
      <c r="C646" s="1">
        <v>16265.04</v>
      </c>
    </row>
    <row r="647" spans="1:3" x14ac:dyDescent="0.3">
      <c r="A647">
        <v>1177</v>
      </c>
      <c r="B647" s="1">
        <v>354277</v>
      </c>
      <c r="C647" s="1">
        <v>48257</v>
      </c>
    </row>
    <row r="648" spans="1:3" x14ac:dyDescent="0.3">
      <c r="A648">
        <v>1922</v>
      </c>
      <c r="B648" s="1">
        <v>578522</v>
      </c>
      <c r="C648" s="1">
        <v>78802</v>
      </c>
    </row>
    <row r="649" spans="1:3" x14ac:dyDescent="0.3">
      <c r="A649">
        <v>1575</v>
      </c>
      <c r="B649" s="1">
        <v>169312.5</v>
      </c>
      <c r="C649" s="1">
        <v>-19687.5</v>
      </c>
    </row>
    <row r="650" spans="1:3" x14ac:dyDescent="0.3">
      <c r="A650">
        <v>606</v>
      </c>
      <c r="B650" s="1">
        <v>10423.200000000001</v>
      </c>
      <c r="C650" s="1">
        <v>4363.2000000000007</v>
      </c>
    </row>
    <row r="651" spans="1:3" x14ac:dyDescent="0.3">
      <c r="A651">
        <v>2460</v>
      </c>
      <c r="B651" s="1">
        <v>634680</v>
      </c>
      <c r="C651" s="1">
        <v>19680</v>
      </c>
    </row>
    <row r="652" spans="1:3" x14ac:dyDescent="0.3">
      <c r="A652">
        <v>269</v>
      </c>
      <c r="B652" s="1">
        <v>69402</v>
      </c>
      <c r="C652" s="1">
        <v>2152</v>
      </c>
    </row>
    <row r="653" spans="1:3" x14ac:dyDescent="0.3">
      <c r="A653">
        <v>2536</v>
      </c>
      <c r="B653" s="1">
        <v>654288</v>
      </c>
      <c r="C653" s="1">
        <v>20288</v>
      </c>
    </row>
    <row r="654" spans="1:3" x14ac:dyDescent="0.3">
      <c r="A654">
        <v>2903</v>
      </c>
      <c r="B654" s="1">
        <v>17476.060000000001</v>
      </c>
      <c r="C654" s="1">
        <v>2961.0600000000013</v>
      </c>
    </row>
    <row r="655" spans="1:3" x14ac:dyDescent="0.3">
      <c r="A655">
        <v>2541</v>
      </c>
      <c r="B655" s="1">
        <v>655578</v>
      </c>
      <c r="C655" s="1">
        <v>20328</v>
      </c>
    </row>
    <row r="656" spans="1:3" x14ac:dyDescent="0.3">
      <c r="A656">
        <v>269</v>
      </c>
      <c r="B656" s="1">
        <v>69402</v>
      </c>
      <c r="C656" s="1">
        <v>2152</v>
      </c>
    </row>
    <row r="657" spans="1:3" x14ac:dyDescent="0.3">
      <c r="A657">
        <v>1496</v>
      </c>
      <c r="B657" s="1">
        <v>385968</v>
      </c>
      <c r="C657" s="1">
        <v>11968</v>
      </c>
    </row>
    <row r="658" spans="1:3" x14ac:dyDescent="0.3">
      <c r="A658">
        <v>1010</v>
      </c>
      <c r="B658" s="1">
        <v>260580</v>
      </c>
      <c r="C658" s="1">
        <v>8080</v>
      </c>
    </row>
    <row r="659" spans="1:3" x14ac:dyDescent="0.3">
      <c r="A659">
        <v>1281</v>
      </c>
      <c r="B659" s="1">
        <v>385581</v>
      </c>
      <c r="C659" s="1">
        <v>52521</v>
      </c>
    </row>
    <row r="660" spans="1:3" x14ac:dyDescent="0.3">
      <c r="A660">
        <v>888</v>
      </c>
      <c r="B660" s="1">
        <v>229104</v>
      </c>
      <c r="C660" s="1">
        <v>7104</v>
      </c>
    </row>
    <row r="661" spans="1:3" x14ac:dyDescent="0.3">
      <c r="A661">
        <v>2844</v>
      </c>
      <c r="B661" s="1">
        <v>305730</v>
      </c>
      <c r="C661" s="1">
        <v>-35550</v>
      </c>
    </row>
    <row r="662" spans="1:3" x14ac:dyDescent="0.3">
      <c r="A662">
        <v>2475</v>
      </c>
      <c r="B662" s="1">
        <v>25542</v>
      </c>
      <c r="C662" s="1">
        <v>18117</v>
      </c>
    </row>
    <row r="663" spans="1:3" x14ac:dyDescent="0.3">
      <c r="A663">
        <v>1743</v>
      </c>
      <c r="B663" s="1">
        <v>22484.7</v>
      </c>
      <c r="C663" s="1">
        <v>5054.7000000000007</v>
      </c>
    </row>
    <row r="664" spans="1:3" x14ac:dyDescent="0.3">
      <c r="A664">
        <v>2914</v>
      </c>
      <c r="B664" s="1">
        <v>30072.48</v>
      </c>
      <c r="C664" s="1">
        <v>21330.48</v>
      </c>
    </row>
    <row r="665" spans="1:3" x14ac:dyDescent="0.3">
      <c r="A665">
        <v>1731</v>
      </c>
      <c r="B665" s="1">
        <v>10420.619999999999</v>
      </c>
      <c r="C665" s="1">
        <v>1765.619999999999</v>
      </c>
    </row>
    <row r="666" spans="1:3" x14ac:dyDescent="0.3">
      <c r="A666">
        <v>1727</v>
      </c>
      <c r="B666" s="1">
        <v>10396.540000000001</v>
      </c>
      <c r="C666" s="1">
        <v>1761.5400000000009</v>
      </c>
    </row>
    <row r="667" spans="1:3" x14ac:dyDescent="0.3">
      <c r="A667">
        <v>1870</v>
      </c>
      <c r="B667" s="1">
        <v>24123</v>
      </c>
      <c r="C667" s="1">
        <v>5423</v>
      </c>
    </row>
    <row r="668" spans="1:3" x14ac:dyDescent="0.3">
      <c r="A668">
        <v>1174</v>
      </c>
      <c r="B668" s="1">
        <v>124737.5</v>
      </c>
      <c r="C668" s="1">
        <v>-16142.5</v>
      </c>
    </row>
    <row r="669" spans="1:3" x14ac:dyDescent="0.3">
      <c r="A669">
        <v>2767</v>
      </c>
      <c r="B669" s="1">
        <v>293993.75</v>
      </c>
      <c r="C669" s="1">
        <v>-38046.25</v>
      </c>
    </row>
    <row r="670" spans="1:3" x14ac:dyDescent="0.3">
      <c r="A670">
        <v>1085</v>
      </c>
      <c r="B670" s="1">
        <v>115281.25</v>
      </c>
      <c r="C670" s="1">
        <v>-14918.75</v>
      </c>
    </row>
    <row r="671" spans="1:3" x14ac:dyDescent="0.3">
      <c r="A671">
        <v>546</v>
      </c>
      <c r="B671" s="1">
        <v>139230</v>
      </c>
      <c r="C671" s="1">
        <v>2730</v>
      </c>
    </row>
    <row r="672" spans="1:3" x14ac:dyDescent="0.3">
      <c r="A672">
        <v>1158</v>
      </c>
      <c r="B672" s="1">
        <v>19686</v>
      </c>
      <c r="C672" s="1">
        <v>8106</v>
      </c>
    </row>
    <row r="673" spans="1:3" x14ac:dyDescent="0.3">
      <c r="A673">
        <v>1614</v>
      </c>
      <c r="B673" s="1">
        <v>20578.5</v>
      </c>
      <c r="C673" s="1">
        <v>4438.5</v>
      </c>
    </row>
    <row r="674" spans="1:3" x14ac:dyDescent="0.3">
      <c r="A674">
        <v>2535</v>
      </c>
      <c r="B674" s="1">
        <v>15083.25</v>
      </c>
      <c r="C674" s="1">
        <v>2408.25</v>
      </c>
    </row>
    <row r="675" spans="1:3" x14ac:dyDescent="0.3">
      <c r="A675">
        <v>2851</v>
      </c>
      <c r="B675" s="1">
        <v>848172.5</v>
      </c>
      <c r="C675" s="1">
        <v>106912.5</v>
      </c>
    </row>
    <row r="676" spans="1:3" x14ac:dyDescent="0.3">
      <c r="A676">
        <v>2559</v>
      </c>
      <c r="B676" s="1">
        <v>32627.25</v>
      </c>
      <c r="C676" s="1">
        <v>7037.25</v>
      </c>
    </row>
    <row r="677" spans="1:3" x14ac:dyDescent="0.3">
      <c r="A677">
        <v>267</v>
      </c>
      <c r="B677" s="1">
        <v>4539</v>
      </c>
      <c r="C677" s="1">
        <v>1869</v>
      </c>
    </row>
    <row r="678" spans="1:3" x14ac:dyDescent="0.3">
      <c r="A678">
        <v>1085</v>
      </c>
      <c r="B678" s="1">
        <v>115281.25</v>
      </c>
      <c r="C678" s="1">
        <v>-14918.75</v>
      </c>
    </row>
    <row r="679" spans="1:3" x14ac:dyDescent="0.3">
      <c r="A679">
        <v>1175</v>
      </c>
      <c r="B679" s="1">
        <v>14981.25</v>
      </c>
      <c r="C679" s="1">
        <v>3231.25</v>
      </c>
    </row>
    <row r="680" spans="1:3" x14ac:dyDescent="0.3">
      <c r="A680">
        <v>2007</v>
      </c>
      <c r="B680" s="1">
        <v>597082.5</v>
      </c>
      <c r="C680" s="1">
        <v>75262.5</v>
      </c>
    </row>
    <row r="681" spans="1:3" x14ac:dyDescent="0.3">
      <c r="A681">
        <v>2151</v>
      </c>
      <c r="B681" s="1">
        <v>639922.5</v>
      </c>
      <c r="C681" s="1">
        <v>80662.5</v>
      </c>
    </row>
    <row r="682" spans="1:3" x14ac:dyDescent="0.3">
      <c r="A682">
        <v>914</v>
      </c>
      <c r="B682" s="1">
        <v>9322.7999999999993</v>
      </c>
      <c r="C682" s="1">
        <v>6580.7999999999993</v>
      </c>
    </row>
    <row r="683" spans="1:3" x14ac:dyDescent="0.3">
      <c r="A683">
        <v>293</v>
      </c>
      <c r="B683" s="1">
        <v>4981</v>
      </c>
      <c r="C683" s="1">
        <v>2051</v>
      </c>
    </row>
    <row r="684" spans="1:3" x14ac:dyDescent="0.3">
      <c r="A684">
        <v>500</v>
      </c>
      <c r="B684" s="1">
        <v>5100</v>
      </c>
      <c r="C684" s="1">
        <v>3600</v>
      </c>
    </row>
    <row r="685" spans="1:3" x14ac:dyDescent="0.3">
      <c r="A685">
        <v>2826</v>
      </c>
      <c r="B685" s="1">
        <v>36031.5</v>
      </c>
      <c r="C685" s="1">
        <v>7771.5</v>
      </c>
    </row>
    <row r="686" spans="1:3" x14ac:dyDescent="0.3">
      <c r="A686">
        <v>663</v>
      </c>
      <c r="B686" s="1">
        <v>70443.75</v>
      </c>
      <c r="C686" s="1">
        <v>-9116.25</v>
      </c>
    </row>
    <row r="687" spans="1:3" x14ac:dyDescent="0.3">
      <c r="A687">
        <v>2574</v>
      </c>
      <c r="B687" s="1">
        <v>656370</v>
      </c>
      <c r="C687" s="1">
        <v>12870</v>
      </c>
    </row>
    <row r="688" spans="1:3" x14ac:dyDescent="0.3">
      <c r="A688">
        <v>2438</v>
      </c>
      <c r="B688" s="1">
        <v>259037.5</v>
      </c>
      <c r="C688" s="1">
        <v>-33522.5</v>
      </c>
    </row>
    <row r="689" spans="1:3" x14ac:dyDescent="0.3">
      <c r="A689">
        <v>914</v>
      </c>
      <c r="B689" s="1">
        <v>9322.7999999999993</v>
      </c>
      <c r="C689" s="1">
        <v>6580.7999999999993</v>
      </c>
    </row>
    <row r="690" spans="1:3" x14ac:dyDescent="0.3">
      <c r="A690">
        <v>865.5</v>
      </c>
      <c r="B690" s="1">
        <v>14713.5</v>
      </c>
      <c r="C690" s="1">
        <v>6058.5</v>
      </c>
    </row>
    <row r="691" spans="1:3" x14ac:dyDescent="0.3">
      <c r="A691">
        <v>492</v>
      </c>
      <c r="B691" s="1">
        <v>6273</v>
      </c>
      <c r="C691" s="1">
        <v>1353</v>
      </c>
    </row>
    <row r="692" spans="1:3" x14ac:dyDescent="0.3">
      <c r="A692">
        <v>267</v>
      </c>
      <c r="B692" s="1">
        <v>4539</v>
      </c>
      <c r="C692" s="1">
        <v>1869</v>
      </c>
    </row>
    <row r="693" spans="1:3" x14ac:dyDescent="0.3">
      <c r="A693">
        <v>1175</v>
      </c>
      <c r="B693" s="1">
        <v>14981.25</v>
      </c>
      <c r="C693" s="1">
        <v>3231.25</v>
      </c>
    </row>
    <row r="694" spans="1:3" x14ac:dyDescent="0.3">
      <c r="A694">
        <v>2954</v>
      </c>
      <c r="B694" s="1">
        <v>313862.5</v>
      </c>
      <c r="C694" s="1">
        <v>-40617.5</v>
      </c>
    </row>
    <row r="695" spans="1:3" x14ac:dyDescent="0.3">
      <c r="A695">
        <v>552</v>
      </c>
      <c r="B695" s="1">
        <v>58650</v>
      </c>
      <c r="C695" s="1">
        <v>-7590</v>
      </c>
    </row>
    <row r="696" spans="1:3" x14ac:dyDescent="0.3">
      <c r="A696">
        <v>293</v>
      </c>
      <c r="B696" s="1">
        <v>4981</v>
      </c>
      <c r="C696" s="1">
        <v>2051</v>
      </c>
    </row>
    <row r="697" spans="1:3" x14ac:dyDescent="0.3">
      <c r="A697">
        <v>2475</v>
      </c>
      <c r="B697" s="1">
        <v>631125</v>
      </c>
      <c r="C697" s="1">
        <v>12375</v>
      </c>
    </row>
    <row r="698" spans="1:3" x14ac:dyDescent="0.3">
      <c r="A698">
        <v>546</v>
      </c>
      <c r="B698" s="1">
        <v>139230</v>
      </c>
      <c r="C698" s="1">
        <v>2730</v>
      </c>
    </row>
    <row r="699" spans="1:3" x14ac:dyDescent="0.3">
      <c r="A699">
        <v>1368</v>
      </c>
      <c r="B699" s="1">
        <v>8139.6</v>
      </c>
      <c r="C699" s="1">
        <v>1299.6000000000004</v>
      </c>
    </row>
    <row r="700" spans="1:3" x14ac:dyDescent="0.3">
      <c r="A700">
        <v>723</v>
      </c>
      <c r="B700" s="1">
        <v>4301.8500000000004</v>
      </c>
      <c r="C700" s="1">
        <v>686.85000000000014</v>
      </c>
    </row>
    <row r="701" spans="1:3" x14ac:dyDescent="0.3">
      <c r="A701">
        <v>1806</v>
      </c>
      <c r="B701" s="1">
        <v>18421.2</v>
      </c>
      <c r="C701" s="1">
        <v>13003.2</v>
      </c>
    </row>
  </sheetData>
  <conditionalFormatting sqref="A2:A701">
    <cfRule type="cellIs" dxfId="1" priority="1" operator="greaterThan">
      <formula>4215.3125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5"/>
  <sheetViews>
    <sheetView workbookViewId="0">
      <selection activeCell="G305" sqref="G305"/>
    </sheetView>
  </sheetViews>
  <sheetFormatPr defaultRowHeight="14.4" x14ac:dyDescent="0.3"/>
  <cols>
    <col min="1" max="1" width="18.21875" customWidth="1"/>
  </cols>
  <sheetData>
    <row r="1" spans="1:2" x14ac:dyDescent="0.3">
      <c r="A1" s="18" t="s">
        <v>96</v>
      </c>
      <c r="B1" s="18" t="s">
        <v>98</v>
      </c>
    </row>
    <row r="2" spans="1:2" x14ac:dyDescent="0.3">
      <c r="A2" s="19">
        <v>1655.08</v>
      </c>
      <c r="B2" s="19">
        <v>1</v>
      </c>
    </row>
    <row r="3" spans="1:2" x14ac:dyDescent="0.3">
      <c r="A3" s="19">
        <v>2786.5999608993156</v>
      </c>
      <c r="B3" s="19">
        <v>10</v>
      </c>
    </row>
    <row r="4" spans="1:2" x14ac:dyDescent="0.3">
      <c r="A4" s="19">
        <v>3918.1199217986314</v>
      </c>
      <c r="B4" s="19">
        <v>11</v>
      </c>
    </row>
    <row r="5" spans="1:2" x14ac:dyDescent="0.3">
      <c r="A5" s="19">
        <v>5049.6398826979475</v>
      </c>
      <c r="B5" s="19">
        <v>21</v>
      </c>
    </row>
    <row r="6" spans="1:2" x14ac:dyDescent="0.3">
      <c r="A6" s="19">
        <v>6181.1598435972628</v>
      </c>
      <c r="B6" s="19">
        <v>6</v>
      </c>
    </row>
    <row r="7" spans="1:2" x14ac:dyDescent="0.3">
      <c r="A7" s="19">
        <v>7312.6798044965781</v>
      </c>
      <c r="B7" s="19">
        <v>13</v>
      </c>
    </row>
    <row r="8" spans="1:2" x14ac:dyDescent="0.3">
      <c r="A8" s="19">
        <v>8444.1997653958933</v>
      </c>
      <c r="B8" s="19">
        <v>15</v>
      </c>
    </row>
    <row r="9" spans="1:2" x14ac:dyDescent="0.3">
      <c r="A9" s="19">
        <v>9575.7197262952104</v>
      </c>
      <c r="B9" s="19">
        <v>18</v>
      </c>
    </row>
    <row r="10" spans="1:2" x14ac:dyDescent="0.3">
      <c r="A10" s="19">
        <v>10707.239687194526</v>
      </c>
      <c r="B10" s="19">
        <v>24</v>
      </c>
    </row>
    <row r="11" spans="1:2" x14ac:dyDescent="0.3">
      <c r="A11" s="19">
        <v>11838.759648093841</v>
      </c>
      <c r="B11" s="19">
        <v>8</v>
      </c>
    </row>
    <row r="12" spans="1:2" x14ac:dyDescent="0.3">
      <c r="A12" s="19">
        <v>12970.279608993156</v>
      </c>
      <c r="B12" s="19">
        <v>13</v>
      </c>
    </row>
    <row r="13" spans="1:2" x14ac:dyDescent="0.3">
      <c r="A13" s="19">
        <v>14101.799569892473</v>
      </c>
      <c r="B13" s="19">
        <v>11</v>
      </c>
    </row>
    <row r="14" spans="1:2" x14ac:dyDescent="0.3">
      <c r="A14" s="19">
        <v>15233.319530791789</v>
      </c>
      <c r="B14" s="19">
        <v>19</v>
      </c>
    </row>
    <row r="15" spans="1:2" x14ac:dyDescent="0.3">
      <c r="A15" s="19">
        <v>16364.839491691104</v>
      </c>
      <c r="B15" s="19">
        <v>10</v>
      </c>
    </row>
    <row r="16" spans="1:2" x14ac:dyDescent="0.3">
      <c r="A16" s="19">
        <v>17496.359452590419</v>
      </c>
      <c r="B16" s="19">
        <v>13</v>
      </c>
    </row>
    <row r="17" spans="1:2" x14ac:dyDescent="0.3">
      <c r="A17" s="19">
        <v>18627.879413489733</v>
      </c>
      <c r="B17" s="19">
        <v>13</v>
      </c>
    </row>
    <row r="18" spans="1:2" x14ac:dyDescent="0.3">
      <c r="A18" s="19">
        <v>19759.399374389053</v>
      </c>
      <c r="B18" s="19">
        <v>12</v>
      </c>
    </row>
    <row r="19" spans="1:2" x14ac:dyDescent="0.3">
      <c r="A19" s="19">
        <v>20890.919335288367</v>
      </c>
      <c r="B19" s="19">
        <v>9</v>
      </c>
    </row>
    <row r="20" spans="1:2" x14ac:dyDescent="0.3">
      <c r="A20" s="19">
        <v>22022.43929618768</v>
      </c>
      <c r="B20" s="19">
        <v>15</v>
      </c>
    </row>
    <row r="21" spans="1:2" x14ac:dyDescent="0.3">
      <c r="A21" s="19">
        <v>23153.959257087001</v>
      </c>
      <c r="B21" s="19">
        <v>12</v>
      </c>
    </row>
    <row r="22" spans="1:2" x14ac:dyDescent="0.3">
      <c r="A22" s="19">
        <v>24285.479217986314</v>
      </c>
      <c r="B22" s="19">
        <v>7</v>
      </c>
    </row>
    <row r="23" spans="1:2" x14ac:dyDescent="0.3">
      <c r="A23" s="19">
        <v>25416.999178885628</v>
      </c>
      <c r="B23" s="19">
        <v>7</v>
      </c>
    </row>
    <row r="24" spans="1:2" x14ac:dyDescent="0.3">
      <c r="A24" s="19">
        <v>26548.519139784948</v>
      </c>
      <c r="B24" s="19">
        <v>13</v>
      </c>
    </row>
    <row r="25" spans="1:2" x14ac:dyDescent="0.3">
      <c r="A25" s="19">
        <v>27680.039100684262</v>
      </c>
      <c r="B25" s="19">
        <v>5</v>
      </c>
    </row>
    <row r="26" spans="1:2" x14ac:dyDescent="0.3">
      <c r="A26" s="19">
        <v>28811.559061583575</v>
      </c>
      <c r="B26" s="19">
        <v>16</v>
      </c>
    </row>
    <row r="27" spans="1:2" x14ac:dyDescent="0.3">
      <c r="A27" s="19">
        <v>29943.079022482896</v>
      </c>
      <c r="B27" s="19">
        <v>10</v>
      </c>
    </row>
    <row r="28" spans="1:2" x14ac:dyDescent="0.3">
      <c r="A28" s="19">
        <v>31074.59898338221</v>
      </c>
      <c r="B28" s="19">
        <v>15</v>
      </c>
    </row>
    <row r="29" spans="1:2" x14ac:dyDescent="0.3">
      <c r="A29" s="19">
        <v>32206.118944281523</v>
      </c>
      <c r="B29" s="19">
        <v>3</v>
      </c>
    </row>
    <row r="30" spans="1:2" x14ac:dyDescent="0.3">
      <c r="A30" s="19">
        <v>33337.638905180844</v>
      </c>
      <c r="B30" s="19">
        <v>9</v>
      </c>
    </row>
    <row r="31" spans="1:2" x14ac:dyDescent="0.3">
      <c r="A31" s="19">
        <v>34469.158866080157</v>
      </c>
      <c r="B31" s="19">
        <v>7</v>
      </c>
    </row>
    <row r="32" spans="1:2" x14ac:dyDescent="0.3">
      <c r="A32" s="19">
        <v>35600.678826979471</v>
      </c>
      <c r="B32" s="19">
        <v>5</v>
      </c>
    </row>
    <row r="33" spans="1:2" x14ac:dyDescent="0.3">
      <c r="A33" s="19">
        <v>36732.198787878791</v>
      </c>
      <c r="B33" s="19">
        <v>6</v>
      </c>
    </row>
    <row r="34" spans="1:2" x14ac:dyDescent="0.3">
      <c r="A34" s="19">
        <v>37863.718748778105</v>
      </c>
      <c r="B34" s="19">
        <v>6</v>
      </c>
    </row>
    <row r="35" spans="1:2" x14ac:dyDescent="0.3">
      <c r="A35" s="19">
        <v>38995.238709677418</v>
      </c>
      <c r="B35" s="19">
        <v>4</v>
      </c>
    </row>
    <row r="36" spans="1:2" x14ac:dyDescent="0.3">
      <c r="A36" s="19">
        <v>40126.758670576739</v>
      </c>
      <c r="B36" s="19">
        <v>5</v>
      </c>
    </row>
    <row r="37" spans="1:2" x14ac:dyDescent="0.3">
      <c r="A37" s="19">
        <v>41258.278631476052</v>
      </c>
      <c r="B37" s="19">
        <v>3</v>
      </c>
    </row>
    <row r="38" spans="1:2" x14ac:dyDescent="0.3">
      <c r="A38" s="19">
        <v>42389.798592375366</v>
      </c>
      <c r="B38" s="19">
        <v>1</v>
      </c>
    </row>
    <row r="39" spans="1:2" x14ac:dyDescent="0.3">
      <c r="A39" s="19">
        <v>43521.318553274687</v>
      </c>
      <c r="B39" s="19">
        <v>5</v>
      </c>
    </row>
    <row r="40" spans="1:2" x14ac:dyDescent="0.3">
      <c r="A40" s="19">
        <v>44652.838514174</v>
      </c>
      <c r="B40" s="19">
        <v>3</v>
      </c>
    </row>
    <row r="41" spans="1:2" x14ac:dyDescent="0.3">
      <c r="A41" s="19">
        <v>45784.358475073313</v>
      </c>
      <c r="B41" s="19">
        <v>0</v>
      </c>
    </row>
    <row r="42" spans="1:2" x14ac:dyDescent="0.3">
      <c r="A42" s="19">
        <v>46915.878435972627</v>
      </c>
      <c r="B42" s="19">
        <v>2</v>
      </c>
    </row>
    <row r="43" spans="1:2" x14ac:dyDescent="0.3">
      <c r="A43" s="19">
        <v>48047.398396871948</v>
      </c>
      <c r="B43" s="19">
        <v>1</v>
      </c>
    </row>
    <row r="44" spans="1:2" x14ac:dyDescent="0.3">
      <c r="A44" s="19">
        <v>49178.918357771261</v>
      </c>
      <c r="B44" s="19">
        <v>1</v>
      </c>
    </row>
    <row r="45" spans="1:2" x14ac:dyDescent="0.3">
      <c r="A45" s="19">
        <v>50310.438318670575</v>
      </c>
      <c r="B45" s="19">
        <v>3</v>
      </c>
    </row>
    <row r="46" spans="1:2" x14ac:dyDescent="0.3">
      <c r="A46" s="19">
        <v>51441.958279569895</v>
      </c>
      <c r="B46" s="19">
        <v>4</v>
      </c>
    </row>
    <row r="47" spans="1:2" x14ac:dyDescent="0.3">
      <c r="A47" s="19">
        <v>52573.478240469209</v>
      </c>
      <c r="B47" s="19">
        <v>2</v>
      </c>
    </row>
    <row r="48" spans="1:2" x14ac:dyDescent="0.3">
      <c r="A48" s="19">
        <v>53704.998201368522</v>
      </c>
      <c r="B48" s="19">
        <v>3</v>
      </c>
    </row>
    <row r="49" spans="1:2" x14ac:dyDescent="0.3">
      <c r="A49" s="19">
        <v>54836.518162267843</v>
      </c>
      <c r="B49" s="19">
        <v>1</v>
      </c>
    </row>
    <row r="50" spans="1:2" x14ac:dyDescent="0.3">
      <c r="A50" s="19">
        <v>55968.038123167156</v>
      </c>
      <c r="B50" s="19">
        <v>1</v>
      </c>
    </row>
    <row r="51" spans="1:2" x14ac:dyDescent="0.3">
      <c r="A51" s="19">
        <v>57099.55808406647</v>
      </c>
      <c r="B51" s="19">
        <v>0</v>
      </c>
    </row>
    <row r="52" spans="1:2" x14ac:dyDescent="0.3">
      <c r="A52" s="19">
        <v>58231.07804496579</v>
      </c>
      <c r="B52" s="19">
        <v>0</v>
      </c>
    </row>
    <row r="53" spans="1:2" x14ac:dyDescent="0.3">
      <c r="A53" s="19">
        <v>59362.598005865104</v>
      </c>
      <c r="B53" s="19">
        <v>1</v>
      </c>
    </row>
    <row r="54" spans="1:2" x14ac:dyDescent="0.3">
      <c r="A54" s="19">
        <v>60494.117966764417</v>
      </c>
      <c r="B54" s="19">
        <v>1</v>
      </c>
    </row>
    <row r="55" spans="1:2" x14ac:dyDescent="0.3">
      <c r="A55" s="19">
        <v>61625.637927663738</v>
      </c>
      <c r="B55" s="19">
        <v>0</v>
      </c>
    </row>
    <row r="56" spans="1:2" x14ac:dyDescent="0.3">
      <c r="A56" s="19">
        <v>62757.157888563052</v>
      </c>
      <c r="B56" s="19">
        <v>1</v>
      </c>
    </row>
    <row r="57" spans="1:2" x14ac:dyDescent="0.3">
      <c r="A57" s="19">
        <v>63888.677849462365</v>
      </c>
      <c r="B57" s="19">
        <v>2</v>
      </c>
    </row>
    <row r="58" spans="1:2" x14ac:dyDescent="0.3">
      <c r="A58" s="19">
        <v>65020.197810361686</v>
      </c>
      <c r="B58" s="19">
        <v>1</v>
      </c>
    </row>
    <row r="59" spans="1:2" x14ac:dyDescent="0.3">
      <c r="A59" s="19">
        <v>66151.717771260999</v>
      </c>
      <c r="B59" s="19">
        <v>1</v>
      </c>
    </row>
    <row r="60" spans="1:2" x14ac:dyDescent="0.3">
      <c r="A60" s="19">
        <v>67283.237732160313</v>
      </c>
      <c r="B60" s="19">
        <v>0</v>
      </c>
    </row>
    <row r="61" spans="1:2" x14ac:dyDescent="0.3">
      <c r="A61" s="19">
        <v>68414.757693059626</v>
      </c>
      <c r="B61" s="19">
        <v>0</v>
      </c>
    </row>
    <row r="62" spans="1:2" x14ac:dyDescent="0.3">
      <c r="A62" s="19">
        <v>69546.277653958939</v>
      </c>
      <c r="B62" s="19">
        <v>2</v>
      </c>
    </row>
    <row r="63" spans="1:2" x14ac:dyDescent="0.3">
      <c r="A63" s="19">
        <v>70677.797614858267</v>
      </c>
      <c r="B63" s="19">
        <v>1</v>
      </c>
    </row>
    <row r="64" spans="1:2" x14ac:dyDescent="0.3">
      <c r="A64" s="19">
        <v>71809.317575757581</v>
      </c>
      <c r="B64" s="19">
        <v>0</v>
      </c>
    </row>
    <row r="65" spans="1:2" x14ac:dyDescent="0.3">
      <c r="A65" s="19">
        <v>72940.837536656894</v>
      </c>
      <c r="B65" s="19">
        <v>0</v>
      </c>
    </row>
    <row r="66" spans="1:2" x14ac:dyDescent="0.3">
      <c r="A66" s="19">
        <v>74072.357497556208</v>
      </c>
      <c r="B66" s="19">
        <v>0</v>
      </c>
    </row>
    <row r="67" spans="1:2" x14ac:dyDescent="0.3">
      <c r="A67" s="19">
        <v>75203.877458455521</v>
      </c>
      <c r="B67" s="19">
        <v>1</v>
      </c>
    </row>
    <row r="68" spans="1:2" x14ac:dyDescent="0.3">
      <c r="A68" s="19">
        <v>76335.397419354835</v>
      </c>
      <c r="B68" s="19">
        <v>1</v>
      </c>
    </row>
    <row r="69" spans="1:2" x14ac:dyDescent="0.3">
      <c r="A69" s="19">
        <v>77466.917380254148</v>
      </c>
      <c r="B69" s="19">
        <v>1</v>
      </c>
    </row>
    <row r="70" spans="1:2" x14ac:dyDescent="0.3">
      <c r="A70" s="19">
        <v>78598.437341153476</v>
      </c>
      <c r="B70" s="19">
        <v>0</v>
      </c>
    </row>
    <row r="71" spans="1:2" x14ac:dyDescent="0.3">
      <c r="A71" s="19">
        <v>79729.95730205279</v>
      </c>
      <c r="B71" s="19">
        <v>0</v>
      </c>
    </row>
    <row r="72" spans="1:2" x14ac:dyDescent="0.3">
      <c r="A72" s="19">
        <v>80861.477262952103</v>
      </c>
      <c r="B72" s="19">
        <v>0</v>
      </c>
    </row>
    <row r="73" spans="1:2" x14ac:dyDescent="0.3">
      <c r="A73" s="19">
        <v>81992.997223851416</v>
      </c>
      <c r="B73" s="19">
        <v>2</v>
      </c>
    </row>
    <row r="74" spans="1:2" x14ac:dyDescent="0.3">
      <c r="A74" s="19">
        <v>83124.51718475073</v>
      </c>
      <c r="B74" s="19">
        <v>2</v>
      </c>
    </row>
    <row r="75" spans="1:2" x14ac:dyDescent="0.3">
      <c r="A75" s="19">
        <v>84256.037145650043</v>
      </c>
      <c r="B75" s="19">
        <v>3</v>
      </c>
    </row>
    <row r="76" spans="1:2" x14ac:dyDescent="0.3">
      <c r="A76" s="19">
        <v>85387.557106549371</v>
      </c>
      <c r="B76" s="19">
        <v>0</v>
      </c>
    </row>
    <row r="77" spans="1:2" x14ac:dyDescent="0.3">
      <c r="A77" s="19">
        <v>86519.077067448685</v>
      </c>
      <c r="B77" s="19">
        <v>0</v>
      </c>
    </row>
    <row r="78" spans="1:2" x14ac:dyDescent="0.3">
      <c r="A78" s="19">
        <v>87650.597028347998</v>
      </c>
      <c r="B78" s="19">
        <v>0</v>
      </c>
    </row>
    <row r="79" spans="1:2" x14ac:dyDescent="0.3">
      <c r="A79" s="19">
        <v>88782.116989247312</v>
      </c>
      <c r="B79" s="19">
        <v>1</v>
      </c>
    </row>
    <row r="80" spans="1:2" x14ac:dyDescent="0.3">
      <c r="A80" s="19">
        <v>89913.636950146625</v>
      </c>
      <c r="B80" s="19">
        <v>0</v>
      </c>
    </row>
    <row r="81" spans="1:2" x14ac:dyDescent="0.3">
      <c r="A81" s="19">
        <v>91045.156911045939</v>
      </c>
      <c r="B81" s="19">
        <v>3</v>
      </c>
    </row>
    <row r="82" spans="1:2" x14ac:dyDescent="0.3">
      <c r="A82" s="19">
        <v>92176.676871945252</v>
      </c>
      <c r="B82" s="19">
        <v>4</v>
      </c>
    </row>
    <row r="83" spans="1:2" x14ac:dyDescent="0.3">
      <c r="A83" s="19">
        <v>93308.19683284458</v>
      </c>
      <c r="B83" s="19">
        <v>0</v>
      </c>
    </row>
    <row r="84" spans="1:2" x14ac:dyDescent="0.3">
      <c r="A84" s="19">
        <v>94439.716793743894</v>
      </c>
      <c r="B84" s="19">
        <v>0</v>
      </c>
    </row>
    <row r="85" spans="1:2" x14ac:dyDescent="0.3">
      <c r="A85" s="19">
        <v>95571.236754643207</v>
      </c>
      <c r="B85" s="19">
        <v>1</v>
      </c>
    </row>
    <row r="86" spans="1:2" x14ac:dyDescent="0.3">
      <c r="A86" s="19">
        <v>96702.75671554252</v>
      </c>
      <c r="B86" s="19">
        <v>1</v>
      </c>
    </row>
    <row r="87" spans="1:2" x14ac:dyDescent="0.3">
      <c r="A87" s="19">
        <v>97834.276676441834</v>
      </c>
      <c r="B87" s="19">
        <v>2</v>
      </c>
    </row>
    <row r="88" spans="1:2" x14ac:dyDescent="0.3">
      <c r="A88" s="19">
        <v>98965.796637341147</v>
      </c>
      <c r="B88" s="19">
        <v>0</v>
      </c>
    </row>
    <row r="89" spans="1:2" x14ac:dyDescent="0.3">
      <c r="A89" s="19">
        <v>100097.31659824048</v>
      </c>
      <c r="B89" s="19">
        <v>3</v>
      </c>
    </row>
    <row r="90" spans="1:2" x14ac:dyDescent="0.3">
      <c r="A90" s="19">
        <v>101228.83655913979</v>
      </c>
      <c r="B90" s="19">
        <v>0</v>
      </c>
    </row>
    <row r="91" spans="1:2" x14ac:dyDescent="0.3">
      <c r="A91" s="19">
        <v>102360.3565200391</v>
      </c>
      <c r="B91" s="19">
        <v>2</v>
      </c>
    </row>
    <row r="92" spans="1:2" x14ac:dyDescent="0.3">
      <c r="A92" s="19">
        <v>103491.87648093842</v>
      </c>
      <c r="B92" s="19">
        <v>0</v>
      </c>
    </row>
    <row r="93" spans="1:2" x14ac:dyDescent="0.3">
      <c r="A93" s="19">
        <v>104623.39644183773</v>
      </c>
      <c r="B93" s="19">
        <v>1</v>
      </c>
    </row>
    <row r="94" spans="1:2" x14ac:dyDescent="0.3">
      <c r="A94" s="19">
        <v>105754.91640273704</v>
      </c>
      <c r="B94" s="19">
        <v>1</v>
      </c>
    </row>
    <row r="95" spans="1:2" x14ac:dyDescent="0.3">
      <c r="A95" s="19">
        <v>106886.43636363637</v>
      </c>
      <c r="B95" s="19">
        <v>1</v>
      </c>
    </row>
    <row r="96" spans="1:2" x14ac:dyDescent="0.3">
      <c r="A96" s="19">
        <v>108017.95632453568</v>
      </c>
      <c r="B96" s="19">
        <v>2</v>
      </c>
    </row>
    <row r="97" spans="1:2" x14ac:dyDescent="0.3">
      <c r="A97" s="19">
        <v>109149.476285435</v>
      </c>
      <c r="B97" s="19">
        <v>1</v>
      </c>
    </row>
    <row r="98" spans="1:2" x14ac:dyDescent="0.3">
      <c r="A98" s="19">
        <v>110280.99624633431</v>
      </c>
      <c r="B98" s="19">
        <v>1</v>
      </c>
    </row>
    <row r="99" spans="1:2" x14ac:dyDescent="0.3">
      <c r="A99" s="19">
        <v>111412.51620723362</v>
      </c>
      <c r="B99" s="19">
        <v>0</v>
      </c>
    </row>
    <row r="100" spans="1:2" x14ac:dyDescent="0.3">
      <c r="A100" s="19">
        <v>112544.03616813294</v>
      </c>
      <c r="B100" s="19">
        <v>1</v>
      </c>
    </row>
    <row r="101" spans="1:2" x14ac:dyDescent="0.3">
      <c r="A101" s="19">
        <v>113675.55612903225</v>
      </c>
      <c r="B101" s="19">
        <v>0</v>
      </c>
    </row>
    <row r="102" spans="1:2" x14ac:dyDescent="0.3">
      <c r="A102" s="19">
        <v>114807.07608993158</v>
      </c>
      <c r="B102" s="19">
        <v>1</v>
      </c>
    </row>
    <row r="103" spans="1:2" x14ac:dyDescent="0.3">
      <c r="A103" s="19">
        <v>115938.59605083089</v>
      </c>
      <c r="B103" s="19">
        <v>3</v>
      </c>
    </row>
    <row r="104" spans="1:2" x14ac:dyDescent="0.3">
      <c r="A104" s="19">
        <v>117070.11601173021</v>
      </c>
      <c r="B104" s="19">
        <v>1</v>
      </c>
    </row>
    <row r="105" spans="1:2" x14ac:dyDescent="0.3">
      <c r="A105" s="19">
        <v>118201.63597262952</v>
      </c>
      <c r="B105" s="19">
        <v>1</v>
      </c>
    </row>
    <row r="106" spans="1:2" x14ac:dyDescent="0.3">
      <c r="A106" s="19">
        <v>119333.15593352883</v>
      </c>
      <c r="B106" s="19">
        <v>0</v>
      </c>
    </row>
    <row r="107" spans="1:2" x14ac:dyDescent="0.3">
      <c r="A107" s="19">
        <v>120464.67589442815</v>
      </c>
      <c r="B107" s="19">
        <v>0</v>
      </c>
    </row>
    <row r="108" spans="1:2" x14ac:dyDescent="0.3">
      <c r="A108" s="19">
        <v>121596.19585532747</v>
      </c>
      <c r="B108" s="19">
        <v>0</v>
      </c>
    </row>
    <row r="109" spans="1:2" x14ac:dyDescent="0.3">
      <c r="A109" s="19">
        <v>122727.71581622679</v>
      </c>
      <c r="B109" s="19">
        <v>1</v>
      </c>
    </row>
    <row r="110" spans="1:2" x14ac:dyDescent="0.3">
      <c r="A110" s="19">
        <v>123859.2357771261</v>
      </c>
      <c r="B110" s="19">
        <v>0</v>
      </c>
    </row>
    <row r="111" spans="1:2" x14ac:dyDescent="0.3">
      <c r="A111" s="19">
        <v>124990.75573802541</v>
      </c>
      <c r="B111" s="19">
        <v>1</v>
      </c>
    </row>
    <row r="112" spans="1:2" x14ac:dyDescent="0.3">
      <c r="A112" s="19">
        <v>126122.27569892473</v>
      </c>
      <c r="B112" s="19">
        <v>2</v>
      </c>
    </row>
    <row r="113" spans="1:2" x14ac:dyDescent="0.3">
      <c r="A113" s="19">
        <v>127253.79565982404</v>
      </c>
      <c r="B113" s="19">
        <v>0</v>
      </c>
    </row>
    <row r="114" spans="1:2" x14ac:dyDescent="0.3">
      <c r="A114" s="19">
        <v>128385.31562072337</v>
      </c>
      <c r="B114" s="19">
        <v>1</v>
      </c>
    </row>
    <row r="115" spans="1:2" x14ac:dyDescent="0.3">
      <c r="A115" s="19">
        <v>129516.83558162268</v>
      </c>
      <c r="B115" s="19">
        <v>1</v>
      </c>
    </row>
    <row r="116" spans="1:2" x14ac:dyDescent="0.3">
      <c r="A116" s="19">
        <v>130648.355542522</v>
      </c>
      <c r="B116" s="19">
        <v>0</v>
      </c>
    </row>
    <row r="117" spans="1:2" x14ac:dyDescent="0.3">
      <c r="A117" s="19">
        <v>131779.8755034213</v>
      </c>
      <c r="B117" s="19">
        <v>0</v>
      </c>
    </row>
    <row r="118" spans="1:2" x14ac:dyDescent="0.3">
      <c r="A118" s="19">
        <v>132911.39546432061</v>
      </c>
      <c r="B118" s="19">
        <v>0</v>
      </c>
    </row>
    <row r="119" spans="1:2" x14ac:dyDescent="0.3">
      <c r="A119" s="19">
        <v>134042.91542521992</v>
      </c>
      <c r="B119" s="19">
        <v>0</v>
      </c>
    </row>
    <row r="120" spans="1:2" x14ac:dyDescent="0.3">
      <c r="A120" s="19">
        <v>135174.43538611924</v>
      </c>
      <c r="B120" s="19">
        <v>0</v>
      </c>
    </row>
    <row r="121" spans="1:2" x14ac:dyDescent="0.3">
      <c r="A121" s="19">
        <v>136305.95534701855</v>
      </c>
      <c r="B121" s="19">
        <v>1</v>
      </c>
    </row>
    <row r="122" spans="1:2" x14ac:dyDescent="0.3">
      <c r="A122" s="19">
        <v>137437.47530791786</v>
      </c>
      <c r="B122" s="19">
        <v>2</v>
      </c>
    </row>
    <row r="123" spans="1:2" x14ac:dyDescent="0.3">
      <c r="A123" s="19">
        <v>138568.99526881718</v>
      </c>
      <c r="B123" s="19">
        <v>0</v>
      </c>
    </row>
    <row r="124" spans="1:2" x14ac:dyDescent="0.3">
      <c r="A124" s="19">
        <v>139700.51522971652</v>
      </c>
      <c r="B124" s="19">
        <v>2</v>
      </c>
    </row>
    <row r="125" spans="1:2" x14ac:dyDescent="0.3">
      <c r="A125" s="19">
        <v>140832.03519061583</v>
      </c>
      <c r="B125" s="19">
        <v>0</v>
      </c>
    </row>
    <row r="126" spans="1:2" x14ac:dyDescent="0.3">
      <c r="A126" s="19">
        <v>141963.55515151515</v>
      </c>
      <c r="B126" s="19">
        <v>0</v>
      </c>
    </row>
    <row r="127" spans="1:2" x14ac:dyDescent="0.3">
      <c r="A127" s="19">
        <v>143095.07511241446</v>
      </c>
      <c r="B127" s="19">
        <v>0</v>
      </c>
    </row>
    <row r="128" spans="1:2" x14ac:dyDescent="0.3">
      <c r="A128" s="19">
        <v>144226.59507331377</v>
      </c>
      <c r="B128" s="19">
        <v>0</v>
      </c>
    </row>
    <row r="129" spans="1:2" x14ac:dyDescent="0.3">
      <c r="A129" s="19">
        <v>145358.11503421309</v>
      </c>
      <c r="B129" s="19">
        <v>0</v>
      </c>
    </row>
    <row r="130" spans="1:2" x14ac:dyDescent="0.3">
      <c r="A130" s="19">
        <v>146489.6349951124</v>
      </c>
      <c r="B130" s="19">
        <v>0</v>
      </c>
    </row>
    <row r="131" spans="1:2" x14ac:dyDescent="0.3">
      <c r="A131" s="19">
        <v>147621.15495601171</v>
      </c>
      <c r="B131" s="19">
        <v>2</v>
      </c>
    </row>
    <row r="132" spans="1:2" x14ac:dyDescent="0.3">
      <c r="A132" s="19">
        <v>148752.67491691103</v>
      </c>
      <c r="B132" s="19">
        <v>0</v>
      </c>
    </row>
    <row r="133" spans="1:2" x14ac:dyDescent="0.3">
      <c r="A133" s="19">
        <v>149884.19487781034</v>
      </c>
      <c r="B133" s="19">
        <v>0</v>
      </c>
    </row>
    <row r="134" spans="1:2" x14ac:dyDescent="0.3">
      <c r="A134" s="19">
        <v>151015.71483870965</v>
      </c>
      <c r="B134" s="19">
        <v>0</v>
      </c>
    </row>
    <row r="135" spans="1:2" x14ac:dyDescent="0.3">
      <c r="A135" s="19">
        <v>152147.23479960897</v>
      </c>
      <c r="B135" s="19">
        <v>0</v>
      </c>
    </row>
    <row r="136" spans="1:2" x14ac:dyDescent="0.3">
      <c r="A136" s="19">
        <v>153278.75476050828</v>
      </c>
      <c r="B136" s="19">
        <v>0</v>
      </c>
    </row>
    <row r="137" spans="1:2" x14ac:dyDescent="0.3">
      <c r="A137" s="19">
        <v>154410.27472140762</v>
      </c>
      <c r="B137" s="19">
        <v>0</v>
      </c>
    </row>
    <row r="138" spans="1:2" x14ac:dyDescent="0.3">
      <c r="A138" s="19">
        <v>155541.79468230694</v>
      </c>
      <c r="B138" s="19">
        <v>0</v>
      </c>
    </row>
    <row r="139" spans="1:2" x14ac:dyDescent="0.3">
      <c r="A139" s="19">
        <v>156673.31464320625</v>
      </c>
      <c r="B139" s="19">
        <v>2</v>
      </c>
    </row>
    <row r="140" spans="1:2" x14ac:dyDescent="0.3">
      <c r="A140" s="19">
        <v>157804.83460410556</v>
      </c>
      <c r="B140" s="19">
        <v>0</v>
      </c>
    </row>
    <row r="141" spans="1:2" x14ac:dyDescent="0.3">
      <c r="A141" s="19">
        <v>158936.35456500488</v>
      </c>
      <c r="B141" s="19">
        <v>0</v>
      </c>
    </row>
    <row r="142" spans="1:2" x14ac:dyDescent="0.3">
      <c r="A142" s="19">
        <v>160067.87452590419</v>
      </c>
      <c r="B142" s="19">
        <v>2</v>
      </c>
    </row>
    <row r="143" spans="1:2" x14ac:dyDescent="0.3">
      <c r="A143" s="19">
        <v>161199.3944868035</v>
      </c>
      <c r="B143" s="19">
        <v>0</v>
      </c>
    </row>
    <row r="144" spans="1:2" x14ac:dyDescent="0.3">
      <c r="A144" s="19">
        <v>162330.91444770282</v>
      </c>
      <c r="B144" s="19">
        <v>0</v>
      </c>
    </row>
    <row r="145" spans="1:2" x14ac:dyDescent="0.3">
      <c r="A145" s="19">
        <v>163462.43440860213</v>
      </c>
      <c r="B145" s="19">
        <v>0</v>
      </c>
    </row>
    <row r="146" spans="1:2" x14ac:dyDescent="0.3">
      <c r="A146" s="19">
        <v>164593.95436950144</v>
      </c>
      <c r="B146" s="19">
        <v>0</v>
      </c>
    </row>
    <row r="147" spans="1:2" x14ac:dyDescent="0.3">
      <c r="A147" s="19">
        <v>165725.47433040076</v>
      </c>
      <c r="B147" s="19">
        <v>0</v>
      </c>
    </row>
    <row r="148" spans="1:2" x14ac:dyDescent="0.3">
      <c r="A148" s="19">
        <v>166856.99429130007</v>
      </c>
      <c r="B148" s="19">
        <v>1</v>
      </c>
    </row>
    <row r="149" spans="1:2" x14ac:dyDescent="0.3">
      <c r="A149" s="19">
        <v>167988.51425219938</v>
      </c>
      <c r="B149" s="19">
        <v>0</v>
      </c>
    </row>
    <row r="150" spans="1:2" x14ac:dyDescent="0.3">
      <c r="A150" s="19">
        <v>169120.03421309873</v>
      </c>
      <c r="B150" s="19">
        <v>0</v>
      </c>
    </row>
    <row r="151" spans="1:2" x14ac:dyDescent="0.3">
      <c r="A151" s="19">
        <v>170251.55417399804</v>
      </c>
      <c r="B151" s="19">
        <v>1</v>
      </c>
    </row>
    <row r="152" spans="1:2" x14ac:dyDescent="0.3">
      <c r="A152" s="19">
        <v>171383.07413489735</v>
      </c>
      <c r="B152" s="19">
        <v>0</v>
      </c>
    </row>
    <row r="153" spans="1:2" x14ac:dyDescent="0.3">
      <c r="A153" s="19">
        <v>172514.59409579667</v>
      </c>
      <c r="B153" s="19">
        <v>2</v>
      </c>
    </row>
    <row r="154" spans="1:2" x14ac:dyDescent="0.3">
      <c r="A154" s="19">
        <v>173646.11405669598</v>
      </c>
      <c r="B154" s="19">
        <v>0</v>
      </c>
    </row>
    <row r="155" spans="1:2" x14ac:dyDescent="0.3">
      <c r="A155" s="19">
        <v>174777.63401759529</v>
      </c>
      <c r="B155" s="19">
        <v>0</v>
      </c>
    </row>
    <row r="156" spans="1:2" x14ac:dyDescent="0.3">
      <c r="A156" s="19">
        <v>175909.15397849461</v>
      </c>
      <c r="B156" s="19">
        <v>2</v>
      </c>
    </row>
    <row r="157" spans="1:2" x14ac:dyDescent="0.3">
      <c r="A157" s="19">
        <v>177040.67393939392</v>
      </c>
      <c r="B157" s="19">
        <v>0</v>
      </c>
    </row>
    <row r="158" spans="1:2" x14ac:dyDescent="0.3">
      <c r="A158" s="19">
        <v>178172.19390029323</v>
      </c>
      <c r="B158" s="19">
        <v>1</v>
      </c>
    </row>
    <row r="159" spans="1:2" x14ac:dyDescent="0.3">
      <c r="A159" s="19">
        <v>179303.71386119255</v>
      </c>
      <c r="B159" s="19">
        <v>0</v>
      </c>
    </row>
    <row r="160" spans="1:2" x14ac:dyDescent="0.3">
      <c r="A160" s="19">
        <v>180435.23382209186</v>
      </c>
      <c r="B160" s="19">
        <v>2</v>
      </c>
    </row>
    <row r="161" spans="1:2" x14ac:dyDescent="0.3">
      <c r="A161" s="19">
        <v>181566.75378299117</v>
      </c>
      <c r="B161" s="19">
        <v>0</v>
      </c>
    </row>
    <row r="162" spans="1:2" x14ac:dyDescent="0.3">
      <c r="A162" s="19">
        <v>182698.27374389049</v>
      </c>
      <c r="B162" s="19">
        <v>0</v>
      </c>
    </row>
    <row r="163" spans="1:2" x14ac:dyDescent="0.3">
      <c r="A163" s="19">
        <v>183829.79370478983</v>
      </c>
      <c r="B163" s="19">
        <v>1</v>
      </c>
    </row>
    <row r="164" spans="1:2" x14ac:dyDescent="0.3">
      <c r="A164" s="19">
        <v>184961.31366568914</v>
      </c>
      <c r="B164" s="19">
        <v>0</v>
      </c>
    </row>
    <row r="165" spans="1:2" x14ac:dyDescent="0.3">
      <c r="A165" s="19">
        <v>186092.83362658846</v>
      </c>
      <c r="B165" s="19">
        <v>1</v>
      </c>
    </row>
    <row r="166" spans="1:2" x14ac:dyDescent="0.3">
      <c r="A166" s="19">
        <v>187224.35358748777</v>
      </c>
      <c r="B166" s="19">
        <v>0</v>
      </c>
    </row>
    <row r="167" spans="1:2" x14ac:dyDescent="0.3">
      <c r="A167" s="19">
        <v>188355.87354838708</v>
      </c>
      <c r="B167" s="19">
        <v>0</v>
      </c>
    </row>
    <row r="168" spans="1:2" x14ac:dyDescent="0.3">
      <c r="A168" s="19">
        <v>189487.3935092864</v>
      </c>
      <c r="B168" s="19">
        <v>0</v>
      </c>
    </row>
    <row r="169" spans="1:2" x14ac:dyDescent="0.3">
      <c r="A169" s="19">
        <v>190618.91347018571</v>
      </c>
      <c r="B169" s="19">
        <v>2</v>
      </c>
    </row>
    <row r="170" spans="1:2" x14ac:dyDescent="0.3">
      <c r="A170" s="19">
        <v>191750.43343108502</v>
      </c>
      <c r="B170" s="19">
        <v>1</v>
      </c>
    </row>
    <row r="171" spans="1:2" x14ac:dyDescent="0.3">
      <c r="A171" s="19">
        <v>192881.95339198434</v>
      </c>
      <c r="B171" s="19">
        <v>1</v>
      </c>
    </row>
    <row r="172" spans="1:2" x14ac:dyDescent="0.3">
      <c r="A172" s="19">
        <v>194013.47335288365</v>
      </c>
      <c r="B172" s="19">
        <v>0</v>
      </c>
    </row>
    <row r="173" spans="1:2" x14ac:dyDescent="0.3">
      <c r="A173" s="19">
        <v>195144.99331378296</v>
      </c>
      <c r="B173" s="19">
        <v>0</v>
      </c>
    </row>
    <row r="174" spans="1:2" x14ac:dyDescent="0.3">
      <c r="A174" s="19">
        <v>196276.51327468228</v>
      </c>
      <c r="B174" s="19">
        <v>0</v>
      </c>
    </row>
    <row r="175" spans="1:2" x14ac:dyDescent="0.3">
      <c r="A175" s="19">
        <v>197408.03323558162</v>
      </c>
      <c r="B175" s="19">
        <v>0</v>
      </c>
    </row>
    <row r="176" spans="1:2" x14ac:dyDescent="0.3">
      <c r="A176" s="19">
        <v>198539.55319648093</v>
      </c>
      <c r="B176" s="19">
        <v>0</v>
      </c>
    </row>
    <row r="177" spans="1:2" x14ac:dyDescent="0.3">
      <c r="A177" s="19">
        <v>199671.07315738025</v>
      </c>
      <c r="B177" s="19">
        <v>0</v>
      </c>
    </row>
    <row r="178" spans="1:2" x14ac:dyDescent="0.3">
      <c r="A178" s="19">
        <v>200802.59311827956</v>
      </c>
      <c r="B178" s="19">
        <v>4</v>
      </c>
    </row>
    <row r="179" spans="1:2" x14ac:dyDescent="0.3">
      <c r="A179" s="19">
        <v>201934.11307917887</v>
      </c>
      <c r="B179" s="19">
        <v>1</v>
      </c>
    </row>
    <row r="180" spans="1:2" x14ac:dyDescent="0.3">
      <c r="A180" s="19">
        <v>203065.63304007819</v>
      </c>
      <c r="B180" s="19">
        <v>1</v>
      </c>
    </row>
    <row r="181" spans="1:2" x14ac:dyDescent="0.3">
      <c r="A181" s="19">
        <v>204197.1530009775</v>
      </c>
      <c r="B181" s="19">
        <v>1</v>
      </c>
    </row>
    <row r="182" spans="1:2" x14ac:dyDescent="0.3">
      <c r="A182" s="19">
        <v>205328.67296187681</v>
      </c>
      <c r="B182" s="19">
        <v>0</v>
      </c>
    </row>
    <row r="183" spans="1:2" x14ac:dyDescent="0.3">
      <c r="A183" s="19">
        <v>206460.19292277613</v>
      </c>
      <c r="B183" s="19">
        <v>0</v>
      </c>
    </row>
    <row r="184" spans="1:2" x14ac:dyDescent="0.3">
      <c r="A184" s="19">
        <v>207591.71288367544</v>
      </c>
      <c r="B184" s="19">
        <v>3</v>
      </c>
    </row>
    <row r="185" spans="1:2" x14ac:dyDescent="0.3">
      <c r="A185" s="19">
        <v>208723.23284457476</v>
      </c>
      <c r="B185" s="19">
        <v>0</v>
      </c>
    </row>
    <row r="186" spans="1:2" x14ac:dyDescent="0.3">
      <c r="A186" s="19">
        <v>209854.75280547407</v>
      </c>
      <c r="B186" s="19">
        <v>0</v>
      </c>
    </row>
    <row r="187" spans="1:2" x14ac:dyDescent="0.3">
      <c r="A187" s="19">
        <v>210986.27276637338</v>
      </c>
      <c r="B187" s="19">
        <v>2</v>
      </c>
    </row>
    <row r="188" spans="1:2" x14ac:dyDescent="0.3">
      <c r="A188" s="19">
        <v>212117.79272727272</v>
      </c>
      <c r="B188" s="19">
        <v>1</v>
      </c>
    </row>
    <row r="189" spans="1:2" x14ac:dyDescent="0.3">
      <c r="A189" s="19">
        <v>213249.31268817204</v>
      </c>
      <c r="B189" s="19">
        <v>0</v>
      </c>
    </row>
    <row r="190" spans="1:2" x14ac:dyDescent="0.3">
      <c r="A190" s="19">
        <v>214380.83264907135</v>
      </c>
      <c r="B190" s="19">
        <v>0</v>
      </c>
    </row>
    <row r="191" spans="1:2" x14ac:dyDescent="0.3">
      <c r="A191" s="19">
        <v>215512.35260997067</v>
      </c>
      <c r="B191" s="19">
        <v>1</v>
      </c>
    </row>
    <row r="192" spans="1:2" x14ac:dyDescent="0.3">
      <c r="A192" s="19">
        <v>216643.87257086998</v>
      </c>
      <c r="B192" s="19">
        <v>2</v>
      </c>
    </row>
    <row r="193" spans="1:2" x14ac:dyDescent="0.3">
      <c r="A193" s="19">
        <v>217775.39253176929</v>
      </c>
      <c r="B193" s="19">
        <v>0</v>
      </c>
    </row>
    <row r="194" spans="1:2" x14ac:dyDescent="0.3">
      <c r="A194" s="19">
        <v>218906.91249266861</v>
      </c>
      <c r="B194" s="19">
        <v>0</v>
      </c>
    </row>
    <row r="195" spans="1:2" x14ac:dyDescent="0.3">
      <c r="A195" s="19">
        <v>220038.43245356792</v>
      </c>
      <c r="B195" s="19">
        <v>0</v>
      </c>
    </row>
    <row r="196" spans="1:2" x14ac:dyDescent="0.3">
      <c r="A196" s="19">
        <v>221169.95241446723</v>
      </c>
      <c r="B196" s="19">
        <v>0</v>
      </c>
    </row>
    <row r="197" spans="1:2" x14ac:dyDescent="0.3">
      <c r="A197" s="19">
        <v>222301.47237536655</v>
      </c>
      <c r="B197" s="19">
        <v>0</v>
      </c>
    </row>
    <row r="198" spans="1:2" x14ac:dyDescent="0.3">
      <c r="A198" s="19">
        <v>223432.99233626586</v>
      </c>
      <c r="B198" s="19">
        <v>2</v>
      </c>
    </row>
    <row r="199" spans="1:2" x14ac:dyDescent="0.3">
      <c r="A199" s="19">
        <v>224564.51229716517</v>
      </c>
      <c r="B199" s="19">
        <v>0</v>
      </c>
    </row>
    <row r="200" spans="1:2" x14ac:dyDescent="0.3">
      <c r="A200" s="19">
        <v>225696.03225806449</v>
      </c>
      <c r="B200" s="19">
        <v>2</v>
      </c>
    </row>
    <row r="201" spans="1:2" x14ac:dyDescent="0.3">
      <c r="A201" s="19">
        <v>226827.55221896383</v>
      </c>
      <c r="B201" s="19">
        <v>0</v>
      </c>
    </row>
    <row r="202" spans="1:2" x14ac:dyDescent="0.3">
      <c r="A202" s="19">
        <v>227959.07217986314</v>
      </c>
      <c r="B202" s="19">
        <v>0</v>
      </c>
    </row>
    <row r="203" spans="1:2" x14ac:dyDescent="0.3">
      <c r="A203" s="19">
        <v>229090.59214076246</v>
      </c>
      <c r="B203" s="19">
        <v>0</v>
      </c>
    </row>
    <row r="204" spans="1:2" x14ac:dyDescent="0.3">
      <c r="A204" s="19">
        <v>230222.11210166177</v>
      </c>
      <c r="B204" s="19">
        <v>1</v>
      </c>
    </row>
    <row r="205" spans="1:2" x14ac:dyDescent="0.3">
      <c r="A205" s="19">
        <v>231353.63206256108</v>
      </c>
      <c r="B205" s="19">
        <v>2</v>
      </c>
    </row>
    <row r="206" spans="1:2" x14ac:dyDescent="0.3">
      <c r="A206" s="19">
        <v>232485.1520234604</v>
      </c>
      <c r="B206" s="19">
        <v>0</v>
      </c>
    </row>
    <row r="207" spans="1:2" x14ac:dyDescent="0.3">
      <c r="A207" s="19">
        <v>233616.67198435971</v>
      </c>
      <c r="B207" s="19">
        <v>2</v>
      </c>
    </row>
    <row r="208" spans="1:2" x14ac:dyDescent="0.3">
      <c r="A208" s="19">
        <v>234748.19194525902</v>
      </c>
      <c r="B208" s="19">
        <v>0</v>
      </c>
    </row>
    <row r="209" spans="1:2" x14ac:dyDescent="0.3">
      <c r="A209" s="19">
        <v>235879.71190615834</v>
      </c>
      <c r="B209" s="19">
        <v>0</v>
      </c>
    </row>
    <row r="210" spans="1:2" x14ac:dyDescent="0.3">
      <c r="A210" s="19">
        <v>237011.23186705765</v>
      </c>
      <c r="B210" s="19">
        <v>1</v>
      </c>
    </row>
    <row r="211" spans="1:2" x14ac:dyDescent="0.3">
      <c r="A211" s="19">
        <v>238142.75182795696</v>
      </c>
      <c r="B211" s="19">
        <v>2</v>
      </c>
    </row>
    <row r="212" spans="1:2" x14ac:dyDescent="0.3">
      <c r="A212" s="19">
        <v>239274.27178885628</v>
      </c>
      <c r="B212" s="19">
        <v>3</v>
      </c>
    </row>
    <row r="213" spans="1:2" x14ac:dyDescent="0.3">
      <c r="A213" s="19">
        <v>240405.79174975559</v>
      </c>
      <c r="B213" s="19">
        <v>2</v>
      </c>
    </row>
    <row r="214" spans="1:2" x14ac:dyDescent="0.3">
      <c r="A214" s="19">
        <v>241537.31171065493</v>
      </c>
      <c r="B214" s="19">
        <v>0</v>
      </c>
    </row>
    <row r="215" spans="1:2" x14ac:dyDescent="0.3">
      <c r="A215" s="19">
        <v>242668.83167155425</v>
      </c>
      <c r="B215" s="19">
        <v>1</v>
      </c>
    </row>
    <row r="216" spans="1:2" x14ac:dyDescent="0.3">
      <c r="A216" s="19">
        <v>243800.35163245356</v>
      </c>
      <c r="B216" s="19">
        <v>2</v>
      </c>
    </row>
    <row r="217" spans="1:2" x14ac:dyDescent="0.3">
      <c r="A217" s="19">
        <v>244931.87159335287</v>
      </c>
      <c r="B217" s="19">
        <v>0</v>
      </c>
    </row>
    <row r="218" spans="1:2" x14ac:dyDescent="0.3">
      <c r="A218" s="19">
        <v>246063.39155425219</v>
      </c>
      <c r="B218" s="19">
        <v>0</v>
      </c>
    </row>
    <row r="219" spans="1:2" x14ac:dyDescent="0.3">
      <c r="A219" s="19">
        <v>247194.9115151515</v>
      </c>
      <c r="B219" s="19">
        <v>1</v>
      </c>
    </row>
    <row r="220" spans="1:2" x14ac:dyDescent="0.3">
      <c r="A220" s="19">
        <v>248326.43147605081</v>
      </c>
      <c r="B220" s="19">
        <v>0</v>
      </c>
    </row>
    <row r="221" spans="1:2" x14ac:dyDescent="0.3">
      <c r="A221" s="19">
        <v>249457.95143695013</v>
      </c>
      <c r="B221" s="19">
        <v>0</v>
      </c>
    </row>
    <row r="222" spans="1:2" x14ac:dyDescent="0.3">
      <c r="A222" s="19">
        <v>250589.47139784944</v>
      </c>
      <c r="B222" s="19">
        <v>0</v>
      </c>
    </row>
    <row r="223" spans="1:2" x14ac:dyDescent="0.3">
      <c r="A223" s="19">
        <v>251720.99135874875</v>
      </c>
      <c r="B223" s="19">
        <v>0</v>
      </c>
    </row>
    <row r="224" spans="1:2" x14ac:dyDescent="0.3">
      <c r="A224" s="19">
        <v>252852.51131964807</v>
      </c>
      <c r="B224" s="19">
        <v>0</v>
      </c>
    </row>
    <row r="225" spans="1:2" x14ac:dyDescent="0.3">
      <c r="A225" s="19">
        <v>253984.03128054738</v>
      </c>
      <c r="B225" s="19">
        <v>0</v>
      </c>
    </row>
    <row r="226" spans="1:2" x14ac:dyDescent="0.3">
      <c r="A226" s="19">
        <v>255115.55124144672</v>
      </c>
      <c r="B226" s="19">
        <v>0</v>
      </c>
    </row>
    <row r="227" spans="1:2" x14ac:dyDescent="0.3">
      <c r="A227" s="19">
        <v>256247.07120234604</v>
      </c>
      <c r="B227" s="19">
        <v>0</v>
      </c>
    </row>
    <row r="228" spans="1:2" x14ac:dyDescent="0.3">
      <c r="A228" s="19">
        <v>257378.59116324535</v>
      </c>
      <c r="B228" s="19">
        <v>0</v>
      </c>
    </row>
    <row r="229" spans="1:2" x14ac:dyDescent="0.3">
      <c r="A229" s="19">
        <v>258510.11112414466</v>
      </c>
      <c r="B229" s="19">
        <v>0</v>
      </c>
    </row>
    <row r="230" spans="1:2" x14ac:dyDescent="0.3">
      <c r="A230" s="19">
        <v>259641.63108504398</v>
      </c>
      <c r="B230" s="19">
        <v>1</v>
      </c>
    </row>
    <row r="231" spans="1:2" x14ac:dyDescent="0.3">
      <c r="A231" s="19">
        <v>260773.15104594329</v>
      </c>
      <c r="B231" s="19">
        <v>2</v>
      </c>
    </row>
    <row r="232" spans="1:2" x14ac:dyDescent="0.3">
      <c r="A232" s="19">
        <v>261904.6710068426</v>
      </c>
      <c r="B232" s="19">
        <v>0</v>
      </c>
    </row>
    <row r="233" spans="1:2" x14ac:dyDescent="0.3">
      <c r="A233" s="19">
        <v>263036.19096774195</v>
      </c>
      <c r="B233" s="19">
        <v>3</v>
      </c>
    </row>
    <row r="234" spans="1:2" x14ac:dyDescent="0.3">
      <c r="A234" s="19">
        <v>264167.71092864126</v>
      </c>
      <c r="B234" s="19">
        <v>0</v>
      </c>
    </row>
    <row r="235" spans="1:2" x14ac:dyDescent="0.3">
      <c r="A235" s="19">
        <v>265299.23088954057</v>
      </c>
      <c r="B235" s="19">
        <v>0</v>
      </c>
    </row>
    <row r="236" spans="1:2" x14ac:dyDescent="0.3">
      <c r="A236" s="19">
        <v>266430.75085043989</v>
      </c>
      <c r="B236" s="19">
        <v>1</v>
      </c>
    </row>
    <row r="237" spans="1:2" x14ac:dyDescent="0.3">
      <c r="A237" s="19">
        <v>267562.2708113392</v>
      </c>
      <c r="B237" s="19">
        <v>1</v>
      </c>
    </row>
    <row r="238" spans="1:2" x14ac:dyDescent="0.3">
      <c r="A238" s="19">
        <v>268693.79077223851</v>
      </c>
      <c r="B238" s="19">
        <v>0</v>
      </c>
    </row>
    <row r="239" spans="1:2" x14ac:dyDescent="0.3">
      <c r="A239" s="19">
        <v>269825.31073313783</v>
      </c>
      <c r="B239" s="19">
        <v>0</v>
      </c>
    </row>
    <row r="240" spans="1:2" x14ac:dyDescent="0.3">
      <c r="A240" s="19">
        <v>270956.83069403714</v>
      </c>
      <c r="B240" s="19">
        <v>1</v>
      </c>
    </row>
    <row r="241" spans="1:2" x14ac:dyDescent="0.3">
      <c r="A241" s="19">
        <v>272088.35065493645</v>
      </c>
      <c r="B241" s="19">
        <v>2</v>
      </c>
    </row>
    <row r="242" spans="1:2" x14ac:dyDescent="0.3">
      <c r="A242" s="19">
        <v>273219.87061583577</v>
      </c>
      <c r="B242" s="19">
        <v>2</v>
      </c>
    </row>
    <row r="243" spans="1:2" x14ac:dyDescent="0.3">
      <c r="A243" s="19">
        <v>274351.39057673508</v>
      </c>
      <c r="B243" s="19">
        <v>0</v>
      </c>
    </row>
    <row r="244" spans="1:2" x14ac:dyDescent="0.3">
      <c r="A244" s="19">
        <v>275482.91053763439</v>
      </c>
      <c r="B244" s="19">
        <v>0</v>
      </c>
    </row>
    <row r="245" spans="1:2" x14ac:dyDescent="0.3">
      <c r="A245" s="19">
        <v>276614.43049853371</v>
      </c>
      <c r="B245" s="19">
        <v>0</v>
      </c>
    </row>
    <row r="246" spans="1:2" x14ac:dyDescent="0.3">
      <c r="A246" s="19">
        <v>277745.95045943308</v>
      </c>
      <c r="B246" s="19">
        <v>0</v>
      </c>
    </row>
    <row r="247" spans="1:2" x14ac:dyDescent="0.3">
      <c r="A247" s="19">
        <v>278877.47042033239</v>
      </c>
      <c r="B247" s="19">
        <v>1</v>
      </c>
    </row>
    <row r="248" spans="1:2" x14ac:dyDescent="0.3">
      <c r="A248" s="19">
        <v>280008.99038123171</v>
      </c>
      <c r="B248" s="19">
        <v>0</v>
      </c>
    </row>
    <row r="249" spans="1:2" x14ac:dyDescent="0.3">
      <c r="A249" s="19">
        <v>281140.51034213102</v>
      </c>
      <c r="B249" s="19">
        <v>1</v>
      </c>
    </row>
    <row r="250" spans="1:2" x14ac:dyDescent="0.3">
      <c r="A250" s="19">
        <v>282272.03030303033</v>
      </c>
      <c r="B250" s="19">
        <v>0</v>
      </c>
    </row>
    <row r="251" spans="1:2" x14ac:dyDescent="0.3">
      <c r="A251" s="19">
        <v>283403.55026392965</v>
      </c>
      <c r="B251" s="19">
        <v>3</v>
      </c>
    </row>
    <row r="252" spans="1:2" x14ac:dyDescent="0.3">
      <c r="A252" s="19">
        <v>284535.07022482896</v>
      </c>
      <c r="B252" s="19">
        <v>1</v>
      </c>
    </row>
    <row r="253" spans="1:2" x14ac:dyDescent="0.3">
      <c r="A253" s="19">
        <v>285666.59018572827</v>
      </c>
      <c r="B253" s="19">
        <v>0</v>
      </c>
    </row>
    <row r="254" spans="1:2" x14ac:dyDescent="0.3">
      <c r="A254" s="19">
        <v>286798.11014662759</v>
      </c>
      <c r="B254" s="19">
        <v>0</v>
      </c>
    </row>
    <row r="255" spans="1:2" x14ac:dyDescent="0.3">
      <c r="A255" s="19">
        <v>287929.6301075269</v>
      </c>
      <c r="B255" s="19">
        <v>1</v>
      </c>
    </row>
    <row r="256" spans="1:2" x14ac:dyDescent="0.3">
      <c r="A256" s="19">
        <v>289061.15006842621</v>
      </c>
      <c r="B256" s="19">
        <v>0</v>
      </c>
    </row>
    <row r="257" spans="1:2" x14ac:dyDescent="0.3">
      <c r="A257" s="19">
        <v>290192.67002932553</v>
      </c>
      <c r="B257" s="19">
        <v>0</v>
      </c>
    </row>
    <row r="258" spans="1:2" x14ac:dyDescent="0.3">
      <c r="A258" s="19">
        <v>291324.18999022484</v>
      </c>
      <c r="B258" s="19">
        <v>1</v>
      </c>
    </row>
    <row r="259" spans="1:2" x14ac:dyDescent="0.3">
      <c r="A259" s="19">
        <v>292455.70995112415</v>
      </c>
      <c r="B259" s="19">
        <v>0</v>
      </c>
    </row>
    <row r="260" spans="1:2" x14ac:dyDescent="0.3">
      <c r="A260" s="19">
        <v>293587.22991202347</v>
      </c>
      <c r="B260" s="19">
        <v>1</v>
      </c>
    </row>
    <row r="261" spans="1:2" x14ac:dyDescent="0.3">
      <c r="A261" s="19">
        <v>294718.74987292278</v>
      </c>
      <c r="B261" s="19">
        <v>1</v>
      </c>
    </row>
    <row r="262" spans="1:2" x14ac:dyDescent="0.3">
      <c r="A262" s="19">
        <v>295850.26983382209</v>
      </c>
      <c r="B262" s="19">
        <v>0</v>
      </c>
    </row>
    <row r="263" spans="1:2" x14ac:dyDescent="0.3">
      <c r="A263" s="19">
        <v>296981.78979472141</v>
      </c>
      <c r="B263" s="19">
        <v>0</v>
      </c>
    </row>
    <row r="264" spans="1:2" x14ac:dyDescent="0.3">
      <c r="A264" s="19">
        <v>298113.30975562072</v>
      </c>
      <c r="B264" s="19">
        <v>0</v>
      </c>
    </row>
    <row r="265" spans="1:2" x14ac:dyDescent="0.3">
      <c r="A265" s="19">
        <v>299244.82971652003</v>
      </c>
      <c r="B265" s="19">
        <v>3</v>
      </c>
    </row>
    <row r="266" spans="1:2" x14ac:dyDescent="0.3">
      <c r="A266" s="19">
        <v>300376.34967741935</v>
      </c>
      <c r="B266" s="19">
        <v>0</v>
      </c>
    </row>
    <row r="267" spans="1:2" x14ac:dyDescent="0.3">
      <c r="A267" s="19">
        <v>301507.86963831866</v>
      </c>
      <c r="B267" s="19">
        <v>0</v>
      </c>
    </row>
    <row r="268" spans="1:2" x14ac:dyDescent="0.3">
      <c r="A268" s="19">
        <v>302639.38959921798</v>
      </c>
      <c r="B268" s="19">
        <v>0</v>
      </c>
    </row>
    <row r="269" spans="1:2" x14ac:dyDescent="0.3">
      <c r="A269" s="19">
        <v>303770.90956011729</v>
      </c>
      <c r="B269" s="19">
        <v>3</v>
      </c>
    </row>
    <row r="270" spans="1:2" x14ac:dyDescent="0.3">
      <c r="A270" s="19">
        <v>304902.4295210166</v>
      </c>
      <c r="B270" s="19">
        <v>0</v>
      </c>
    </row>
    <row r="271" spans="1:2" x14ac:dyDescent="0.3">
      <c r="A271" s="19">
        <v>306033.94948191597</v>
      </c>
      <c r="B271" s="19">
        <v>1</v>
      </c>
    </row>
    <row r="272" spans="1:2" x14ac:dyDescent="0.3">
      <c r="A272" s="19">
        <v>307165.46944281529</v>
      </c>
      <c r="B272" s="19">
        <v>0</v>
      </c>
    </row>
    <row r="273" spans="1:2" x14ac:dyDescent="0.3">
      <c r="A273" s="19">
        <v>308296.9894037146</v>
      </c>
      <c r="B273" s="19">
        <v>0</v>
      </c>
    </row>
    <row r="274" spans="1:2" x14ac:dyDescent="0.3">
      <c r="A274" s="19">
        <v>309428.50936461391</v>
      </c>
      <c r="B274" s="19">
        <v>0</v>
      </c>
    </row>
    <row r="275" spans="1:2" x14ac:dyDescent="0.3">
      <c r="A275" s="19">
        <v>310560.02932551323</v>
      </c>
      <c r="B275" s="19">
        <v>0</v>
      </c>
    </row>
    <row r="276" spans="1:2" x14ac:dyDescent="0.3">
      <c r="A276" s="19">
        <v>311691.54928641254</v>
      </c>
      <c r="B276" s="19">
        <v>0</v>
      </c>
    </row>
    <row r="277" spans="1:2" x14ac:dyDescent="0.3">
      <c r="A277" s="19">
        <v>312823.06924731185</v>
      </c>
      <c r="B277" s="19">
        <v>0</v>
      </c>
    </row>
    <row r="278" spans="1:2" x14ac:dyDescent="0.3">
      <c r="A278" s="19">
        <v>313954.58920821117</v>
      </c>
      <c r="B278" s="19">
        <v>4</v>
      </c>
    </row>
    <row r="279" spans="1:2" x14ac:dyDescent="0.3">
      <c r="A279" s="19">
        <v>315086.10916911048</v>
      </c>
      <c r="B279" s="19">
        <v>0</v>
      </c>
    </row>
    <row r="280" spans="1:2" x14ac:dyDescent="0.3">
      <c r="A280" s="19">
        <v>316217.62913000979</v>
      </c>
      <c r="B280" s="19">
        <v>0</v>
      </c>
    </row>
    <row r="281" spans="1:2" x14ac:dyDescent="0.3">
      <c r="A281" s="19">
        <v>317349.14909090911</v>
      </c>
      <c r="B281" s="19">
        <v>0</v>
      </c>
    </row>
    <row r="282" spans="1:2" x14ac:dyDescent="0.3">
      <c r="A282" s="19">
        <v>318480.66905180842</v>
      </c>
      <c r="B282" s="19">
        <v>2</v>
      </c>
    </row>
    <row r="283" spans="1:2" x14ac:dyDescent="0.3">
      <c r="A283" s="19">
        <v>319612.18901270773</v>
      </c>
      <c r="B283" s="19">
        <v>0</v>
      </c>
    </row>
    <row r="284" spans="1:2" x14ac:dyDescent="0.3">
      <c r="A284" s="19">
        <v>320743.70897360705</v>
      </c>
      <c r="B284" s="19">
        <v>0</v>
      </c>
    </row>
    <row r="285" spans="1:2" x14ac:dyDescent="0.3">
      <c r="A285" s="19">
        <v>321875.22893450636</v>
      </c>
      <c r="B285" s="19">
        <v>0</v>
      </c>
    </row>
    <row r="286" spans="1:2" x14ac:dyDescent="0.3">
      <c r="A286" s="19">
        <v>323006.74889540568</v>
      </c>
      <c r="B286" s="19">
        <v>1</v>
      </c>
    </row>
    <row r="287" spans="1:2" x14ac:dyDescent="0.3">
      <c r="A287" s="19">
        <v>324138.26885630499</v>
      </c>
      <c r="B287" s="19">
        <v>2</v>
      </c>
    </row>
    <row r="288" spans="1:2" x14ac:dyDescent="0.3">
      <c r="A288" s="19">
        <v>325269.7888172043</v>
      </c>
      <c r="B288" s="19">
        <v>0</v>
      </c>
    </row>
    <row r="289" spans="1:2" x14ac:dyDescent="0.3">
      <c r="A289" s="19">
        <v>326401.30877810362</v>
      </c>
      <c r="B289" s="19">
        <v>0</v>
      </c>
    </row>
    <row r="290" spans="1:2" x14ac:dyDescent="0.3">
      <c r="A290" s="19">
        <v>327532.82873900293</v>
      </c>
      <c r="B290" s="19">
        <v>1</v>
      </c>
    </row>
    <row r="291" spans="1:2" x14ac:dyDescent="0.3">
      <c r="A291" s="19">
        <v>328664.34869990224</v>
      </c>
      <c r="B291" s="19">
        <v>0</v>
      </c>
    </row>
    <row r="292" spans="1:2" x14ac:dyDescent="0.3">
      <c r="A292" s="19">
        <v>329795.86866080156</v>
      </c>
      <c r="B292" s="19">
        <v>0</v>
      </c>
    </row>
    <row r="293" spans="1:2" x14ac:dyDescent="0.3">
      <c r="A293" s="19">
        <v>330927.38862170087</v>
      </c>
      <c r="B293" s="19">
        <v>0</v>
      </c>
    </row>
    <row r="294" spans="1:2" x14ac:dyDescent="0.3">
      <c r="A294" s="19">
        <v>332058.90858260018</v>
      </c>
      <c r="B294" s="19">
        <v>0</v>
      </c>
    </row>
    <row r="295" spans="1:2" x14ac:dyDescent="0.3">
      <c r="A295" s="19">
        <v>333190.4285434995</v>
      </c>
      <c r="B295" s="19">
        <v>1</v>
      </c>
    </row>
    <row r="296" spans="1:2" x14ac:dyDescent="0.3">
      <c r="A296" s="19">
        <v>334321.94850439881</v>
      </c>
      <c r="B296" s="19">
        <v>2</v>
      </c>
    </row>
    <row r="297" spans="1:2" x14ac:dyDescent="0.3">
      <c r="A297" s="19">
        <v>335453.46846529818</v>
      </c>
      <c r="B297" s="19">
        <v>0</v>
      </c>
    </row>
    <row r="298" spans="1:2" x14ac:dyDescent="0.3">
      <c r="A298" s="19">
        <v>336584.98842619749</v>
      </c>
      <c r="B298" s="19">
        <v>0</v>
      </c>
    </row>
    <row r="299" spans="1:2" x14ac:dyDescent="0.3">
      <c r="A299" s="19">
        <v>337716.50838709681</v>
      </c>
      <c r="B299" s="19">
        <v>0</v>
      </c>
    </row>
    <row r="300" spans="1:2" x14ac:dyDescent="0.3">
      <c r="A300" s="19">
        <v>338848.02834799612</v>
      </c>
      <c r="B300" s="19">
        <v>0</v>
      </c>
    </row>
    <row r="301" spans="1:2" x14ac:dyDescent="0.3">
      <c r="A301" s="19">
        <v>339979.54830889544</v>
      </c>
      <c r="B301" s="19">
        <v>0</v>
      </c>
    </row>
    <row r="302" spans="1:2" x14ac:dyDescent="0.3">
      <c r="A302" s="19">
        <v>341111.06826979475</v>
      </c>
      <c r="B302" s="19">
        <v>0</v>
      </c>
    </row>
    <row r="303" spans="1:2" x14ac:dyDescent="0.3">
      <c r="A303" s="19">
        <v>342242.58823069406</v>
      </c>
      <c r="B303" s="19">
        <v>0</v>
      </c>
    </row>
    <row r="304" spans="1:2" x14ac:dyDescent="0.3">
      <c r="A304" s="19">
        <v>343374.10819159338</v>
      </c>
      <c r="B304" s="19">
        <v>0</v>
      </c>
    </row>
    <row r="305" spans="1:2" x14ac:dyDescent="0.3">
      <c r="A305" s="19">
        <v>344505.62815249269</v>
      </c>
      <c r="B305" s="19">
        <v>2</v>
      </c>
    </row>
    <row r="306" spans="1:2" x14ac:dyDescent="0.3">
      <c r="A306" s="19">
        <v>345637.148113392</v>
      </c>
      <c r="B306" s="19">
        <v>0</v>
      </c>
    </row>
    <row r="307" spans="1:2" x14ac:dyDescent="0.3">
      <c r="A307" s="19">
        <v>346768.66807429132</v>
      </c>
      <c r="B307" s="19">
        <v>0</v>
      </c>
    </row>
    <row r="308" spans="1:2" x14ac:dyDescent="0.3">
      <c r="A308" s="19">
        <v>347900.18803519063</v>
      </c>
      <c r="B308" s="19">
        <v>0</v>
      </c>
    </row>
    <row r="309" spans="1:2" x14ac:dyDescent="0.3">
      <c r="A309" s="19">
        <v>349031.70799608994</v>
      </c>
      <c r="B309" s="19">
        <v>0</v>
      </c>
    </row>
    <row r="310" spans="1:2" x14ac:dyDescent="0.3">
      <c r="A310" s="19">
        <v>350163.22795698926</v>
      </c>
      <c r="B310" s="19">
        <v>0</v>
      </c>
    </row>
    <row r="311" spans="1:2" x14ac:dyDescent="0.3">
      <c r="A311" s="19">
        <v>351294.74791788857</v>
      </c>
      <c r="B311" s="19">
        <v>0</v>
      </c>
    </row>
    <row r="312" spans="1:2" x14ac:dyDescent="0.3">
      <c r="A312" s="19">
        <v>352426.26787878788</v>
      </c>
      <c r="B312" s="19">
        <v>3</v>
      </c>
    </row>
    <row r="313" spans="1:2" x14ac:dyDescent="0.3">
      <c r="A313" s="19">
        <v>353557.7878396872</v>
      </c>
      <c r="B313" s="19">
        <v>1</v>
      </c>
    </row>
    <row r="314" spans="1:2" x14ac:dyDescent="0.3">
      <c r="A314" s="19">
        <v>354689.30780058651</v>
      </c>
      <c r="B314" s="19">
        <v>2</v>
      </c>
    </row>
    <row r="315" spans="1:2" x14ac:dyDescent="0.3">
      <c r="A315" s="19">
        <v>355820.82776148582</v>
      </c>
      <c r="B315" s="19">
        <v>1</v>
      </c>
    </row>
    <row r="316" spans="1:2" x14ac:dyDescent="0.3">
      <c r="A316" s="19">
        <v>356952.34772238514</v>
      </c>
      <c r="B316" s="19">
        <v>2</v>
      </c>
    </row>
    <row r="317" spans="1:2" x14ac:dyDescent="0.3">
      <c r="A317" s="19">
        <v>358083.86768328445</v>
      </c>
      <c r="B317" s="19">
        <v>0</v>
      </c>
    </row>
    <row r="318" spans="1:2" x14ac:dyDescent="0.3">
      <c r="A318" s="19">
        <v>359215.38764418376</v>
      </c>
      <c r="B318" s="19">
        <v>2</v>
      </c>
    </row>
    <row r="319" spans="1:2" x14ac:dyDescent="0.3">
      <c r="A319" s="19">
        <v>360346.90760508308</v>
      </c>
      <c r="B319" s="19">
        <v>0</v>
      </c>
    </row>
    <row r="320" spans="1:2" x14ac:dyDescent="0.3">
      <c r="A320" s="19">
        <v>361478.42756598239</v>
      </c>
      <c r="B320" s="19">
        <v>2</v>
      </c>
    </row>
    <row r="321" spans="1:2" x14ac:dyDescent="0.3">
      <c r="A321" s="19">
        <v>362609.9475268817</v>
      </c>
      <c r="B321" s="19">
        <v>0</v>
      </c>
    </row>
    <row r="322" spans="1:2" x14ac:dyDescent="0.3">
      <c r="A322" s="19">
        <v>363741.46748778102</v>
      </c>
      <c r="B322" s="19">
        <v>0</v>
      </c>
    </row>
    <row r="323" spans="1:2" x14ac:dyDescent="0.3">
      <c r="A323" s="19">
        <v>364872.98744868039</v>
      </c>
      <c r="B323" s="19">
        <v>1</v>
      </c>
    </row>
    <row r="324" spans="1:2" x14ac:dyDescent="0.3">
      <c r="A324" s="19">
        <v>366004.5074095797</v>
      </c>
      <c r="B324" s="19">
        <v>0</v>
      </c>
    </row>
    <row r="325" spans="1:2" x14ac:dyDescent="0.3">
      <c r="A325" s="19">
        <v>367136.02737047902</v>
      </c>
      <c r="B325" s="19">
        <v>0</v>
      </c>
    </row>
    <row r="326" spans="1:2" x14ac:dyDescent="0.3">
      <c r="A326" s="19">
        <v>368267.54733137833</v>
      </c>
      <c r="B326" s="19">
        <v>0</v>
      </c>
    </row>
    <row r="327" spans="1:2" x14ac:dyDescent="0.3">
      <c r="A327" s="19">
        <v>369399.06729227764</v>
      </c>
      <c r="B327" s="19">
        <v>1</v>
      </c>
    </row>
    <row r="328" spans="1:2" x14ac:dyDescent="0.3">
      <c r="A328" s="19">
        <v>370530.58725317696</v>
      </c>
      <c r="B328" s="19">
        <v>0</v>
      </c>
    </row>
    <row r="329" spans="1:2" x14ac:dyDescent="0.3">
      <c r="A329" s="19">
        <v>371662.10721407627</v>
      </c>
      <c r="B329" s="19">
        <v>0</v>
      </c>
    </row>
    <row r="330" spans="1:2" x14ac:dyDescent="0.3">
      <c r="A330" s="19">
        <v>372793.62717497558</v>
      </c>
      <c r="B330" s="19">
        <v>0</v>
      </c>
    </row>
    <row r="331" spans="1:2" x14ac:dyDescent="0.3">
      <c r="A331" s="19">
        <v>373925.1471358749</v>
      </c>
      <c r="B331" s="19">
        <v>0</v>
      </c>
    </row>
    <row r="332" spans="1:2" x14ac:dyDescent="0.3">
      <c r="A332" s="19">
        <v>375056.66709677421</v>
      </c>
      <c r="B332" s="19">
        <v>0</v>
      </c>
    </row>
    <row r="333" spans="1:2" x14ac:dyDescent="0.3">
      <c r="A333" s="19">
        <v>376188.18705767352</v>
      </c>
      <c r="B333" s="19">
        <v>0</v>
      </c>
    </row>
    <row r="334" spans="1:2" x14ac:dyDescent="0.3">
      <c r="A334" s="19">
        <v>377319.70701857284</v>
      </c>
      <c r="B334" s="19">
        <v>0</v>
      </c>
    </row>
    <row r="335" spans="1:2" x14ac:dyDescent="0.3">
      <c r="A335" s="19">
        <v>378451.22697947215</v>
      </c>
      <c r="B335" s="19">
        <v>0</v>
      </c>
    </row>
    <row r="336" spans="1:2" x14ac:dyDescent="0.3">
      <c r="A336" s="19">
        <v>379582.74694037146</v>
      </c>
      <c r="B336" s="19">
        <v>0</v>
      </c>
    </row>
    <row r="337" spans="1:2" x14ac:dyDescent="0.3">
      <c r="A337" s="19">
        <v>380714.26690127078</v>
      </c>
      <c r="B337" s="19">
        <v>0</v>
      </c>
    </row>
    <row r="338" spans="1:2" x14ac:dyDescent="0.3">
      <c r="A338" s="19">
        <v>381845.78686217009</v>
      </c>
      <c r="B338" s="19">
        <v>0</v>
      </c>
    </row>
    <row r="339" spans="1:2" x14ac:dyDescent="0.3">
      <c r="A339" s="19">
        <v>382977.3068230694</v>
      </c>
      <c r="B339" s="19">
        <v>2</v>
      </c>
    </row>
    <row r="340" spans="1:2" x14ac:dyDescent="0.3">
      <c r="A340" s="19">
        <v>384108.82678396872</v>
      </c>
      <c r="B340" s="19">
        <v>0</v>
      </c>
    </row>
    <row r="341" spans="1:2" x14ac:dyDescent="0.3">
      <c r="A341" s="19">
        <v>385240.34674486803</v>
      </c>
      <c r="B341" s="19">
        <v>0</v>
      </c>
    </row>
    <row r="342" spans="1:2" x14ac:dyDescent="0.3">
      <c r="A342" s="19">
        <v>386371.86670576734</v>
      </c>
      <c r="B342" s="19">
        <v>3</v>
      </c>
    </row>
    <row r="343" spans="1:2" x14ac:dyDescent="0.3">
      <c r="A343" s="19">
        <v>387503.38666666666</v>
      </c>
      <c r="B343" s="19">
        <v>0</v>
      </c>
    </row>
    <row r="344" spans="1:2" x14ac:dyDescent="0.3">
      <c r="A344" s="19">
        <v>388634.90662756597</v>
      </c>
      <c r="B344" s="19">
        <v>1</v>
      </c>
    </row>
    <row r="345" spans="1:2" x14ac:dyDescent="0.3">
      <c r="A345" s="19">
        <v>389766.42658846529</v>
      </c>
      <c r="B345" s="19">
        <v>0</v>
      </c>
    </row>
    <row r="346" spans="1:2" x14ac:dyDescent="0.3">
      <c r="A346" s="19">
        <v>390897.9465493646</v>
      </c>
      <c r="B346" s="19">
        <v>0</v>
      </c>
    </row>
    <row r="347" spans="1:2" x14ac:dyDescent="0.3">
      <c r="A347" s="19">
        <v>392029.46651026391</v>
      </c>
      <c r="B347" s="19">
        <v>1</v>
      </c>
    </row>
    <row r="348" spans="1:2" x14ac:dyDescent="0.3">
      <c r="A348" s="19">
        <v>393160.98647116328</v>
      </c>
      <c r="B348" s="19">
        <v>0</v>
      </c>
    </row>
    <row r="349" spans="1:2" x14ac:dyDescent="0.3">
      <c r="A349" s="19">
        <v>394292.5064320626</v>
      </c>
      <c r="B349" s="19">
        <v>0</v>
      </c>
    </row>
    <row r="350" spans="1:2" x14ac:dyDescent="0.3">
      <c r="A350" s="19">
        <v>395424.02639296191</v>
      </c>
      <c r="B350" s="19">
        <v>0</v>
      </c>
    </row>
    <row r="351" spans="1:2" x14ac:dyDescent="0.3">
      <c r="A351" s="19">
        <v>396555.54635386122</v>
      </c>
      <c r="B351" s="19">
        <v>0</v>
      </c>
    </row>
    <row r="352" spans="1:2" x14ac:dyDescent="0.3">
      <c r="A352" s="19">
        <v>397687.06631476054</v>
      </c>
      <c r="B352" s="19">
        <v>0</v>
      </c>
    </row>
    <row r="353" spans="1:2" x14ac:dyDescent="0.3">
      <c r="A353" s="19">
        <v>398818.58627565985</v>
      </c>
      <c r="B353" s="19">
        <v>0</v>
      </c>
    </row>
    <row r="354" spans="1:2" x14ac:dyDescent="0.3">
      <c r="A354" s="19">
        <v>399950.10623655916</v>
      </c>
      <c r="B354" s="19">
        <v>0</v>
      </c>
    </row>
    <row r="355" spans="1:2" x14ac:dyDescent="0.3">
      <c r="A355" s="19">
        <v>401081.62619745848</v>
      </c>
      <c r="B355" s="19">
        <v>0</v>
      </c>
    </row>
    <row r="356" spans="1:2" x14ac:dyDescent="0.3">
      <c r="A356" s="19">
        <v>402213.14615835779</v>
      </c>
      <c r="B356" s="19">
        <v>0</v>
      </c>
    </row>
    <row r="357" spans="1:2" x14ac:dyDescent="0.3">
      <c r="A357" s="19">
        <v>403344.6661192571</v>
      </c>
      <c r="B357" s="19">
        <v>0</v>
      </c>
    </row>
    <row r="358" spans="1:2" x14ac:dyDescent="0.3">
      <c r="A358" s="19">
        <v>404476.18608015642</v>
      </c>
      <c r="B358" s="19">
        <v>2</v>
      </c>
    </row>
    <row r="359" spans="1:2" x14ac:dyDescent="0.3">
      <c r="A359" s="19">
        <v>405607.70604105573</v>
      </c>
      <c r="B359" s="19">
        <v>0</v>
      </c>
    </row>
    <row r="360" spans="1:2" x14ac:dyDescent="0.3">
      <c r="A360" s="19">
        <v>406739.22600195504</v>
      </c>
      <c r="B360" s="19">
        <v>0</v>
      </c>
    </row>
    <row r="361" spans="1:2" x14ac:dyDescent="0.3">
      <c r="A361" s="19">
        <v>407870.74596285436</v>
      </c>
      <c r="B361" s="19">
        <v>1</v>
      </c>
    </row>
    <row r="362" spans="1:2" x14ac:dyDescent="0.3">
      <c r="A362" s="19">
        <v>409002.26592375367</v>
      </c>
      <c r="B362" s="19">
        <v>3</v>
      </c>
    </row>
    <row r="363" spans="1:2" x14ac:dyDescent="0.3">
      <c r="A363" s="19">
        <v>410133.78588465299</v>
      </c>
      <c r="B363" s="19">
        <v>0</v>
      </c>
    </row>
    <row r="364" spans="1:2" x14ac:dyDescent="0.3">
      <c r="A364" s="19">
        <v>411265.3058455523</v>
      </c>
      <c r="B364" s="19">
        <v>0</v>
      </c>
    </row>
    <row r="365" spans="1:2" x14ac:dyDescent="0.3">
      <c r="A365" s="19">
        <v>412396.82580645161</v>
      </c>
      <c r="B365" s="19">
        <v>0</v>
      </c>
    </row>
    <row r="366" spans="1:2" x14ac:dyDescent="0.3">
      <c r="A366" s="19">
        <v>413528.34576735093</v>
      </c>
      <c r="B366" s="19">
        <v>0</v>
      </c>
    </row>
    <row r="367" spans="1:2" x14ac:dyDescent="0.3">
      <c r="A367" s="19">
        <v>414659.86572825024</v>
      </c>
      <c r="B367" s="19">
        <v>0</v>
      </c>
    </row>
    <row r="368" spans="1:2" x14ac:dyDescent="0.3">
      <c r="A368" s="19">
        <v>415791.38568914955</v>
      </c>
      <c r="B368" s="19">
        <v>0</v>
      </c>
    </row>
    <row r="369" spans="1:2" x14ac:dyDescent="0.3">
      <c r="A369" s="19">
        <v>416922.90565004887</v>
      </c>
      <c r="B369" s="19">
        <v>1</v>
      </c>
    </row>
    <row r="370" spans="1:2" x14ac:dyDescent="0.3">
      <c r="A370" s="19">
        <v>418054.42561094818</v>
      </c>
      <c r="B370" s="19">
        <v>0</v>
      </c>
    </row>
    <row r="371" spans="1:2" x14ac:dyDescent="0.3">
      <c r="A371" s="19">
        <v>419185.94557184749</v>
      </c>
      <c r="B371" s="19">
        <v>0</v>
      </c>
    </row>
    <row r="372" spans="1:2" x14ac:dyDescent="0.3">
      <c r="A372" s="19">
        <v>420317.46553274681</v>
      </c>
      <c r="B372" s="19">
        <v>1</v>
      </c>
    </row>
    <row r="373" spans="1:2" x14ac:dyDescent="0.3">
      <c r="A373" s="19">
        <v>421448.98549364612</v>
      </c>
      <c r="B373" s="19">
        <v>0</v>
      </c>
    </row>
    <row r="374" spans="1:2" x14ac:dyDescent="0.3">
      <c r="A374" s="19">
        <v>422580.50545454549</v>
      </c>
      <c r="B374" s="19">
        <v>0</v>
      </c>
    </row>
    <row r="375" spans="1:2" x14ac:dyDescent="0.3">
      <c r="A375" s="19">
        <v>423712.0254154448</v>
      </c>
      <c r="B375" s="19">
        <v>0</v>
      </c>
    </row>
    <row r="376" spans="1:2" x14ac:dyDescent="0.3">
      <c r="A376" s="19">
        <v>424843.54537634412</v>
      </c>
      <c r="B376" s="19">
        <v>0</v>
      </c>
    </row>
    <row r="377" spans="1:2" x14ac:dyDescent="0.3">
      <c r="A377" s="19">
        <v>425975.06533724343</v>
      </c>
      <c r="B377" s="19">
        <v>0</v>
      </c>
    </row>
    <row r="378" spans="1:2" x14ac:dyDescent="0.3">
      <c r="A378" s="19">
        <v>427106.58529814275</v>
      </c>
      <c r="B378" s="19">
        <v>0</v>
      </c>
    </row>
    <row r="379" spans="1:2" x14ac:dyDescent="0.3">
      <c r="A379" s="19">
        <v>428238.10525904206</v>
      </c>
      <c r="B379" s="19">
        <v>0</v>
      </c>
    </row>
    <row r="380" spans="1:2" x14ac:dyDescent="0.3">
      <c r="A380" s="19">
        <v>429369.62521994137</v>
      </c>
      <c r="B380" s="19">
        <v>0</v>
      </c>
    </row>
    <row r="381" spans="1:2" x14ac:dyDescent="0.3">
      <c r="A381" s="19">
        <v>430501.14518084069</v>
      </c>
      <c r="B381" s="19">
        <v>2</v>
      </c>
    </row>
    <row r="382" spans="1:2" x14ac:dyDescent="0.3">
      <c r="A382" s="19">
        <v>431632.66514174</v>
      </c>
      <c r="B382" s="19">
        <v>2</v>
      </c>
    </row>
    <row r="383" spans="1:2" x14ac:dyDescent="0.3">
      <c r="A383" s="19">
        <v>432764.18510263931</v>
      </c>
      <c r="B383" s="19">
        <v>0</v>
      </c>
    </row>
    <row r="384" spans="1:2" x14ac:dyDescent="0.3">
      <c r="A384" s="19">
        <v>433895.70506353863</v>
      </c>
      <c r="B384" s="19">
        <v>0</v>
      </c>
    </row>
    <row r="385" spans="1:2" x14ac:dyDescent="0.3">
      <c r="A385" s="19">
        <v>435027.22502443794</v>
      </c>
      <c r="B385" s="19">
        <v>0</v>
      </c>
    </row>
    <row r="386" spans="1:2" x14ac:dyDescent="0.3">
      <c r="A386" s="19">
        <v>436158.74498533725</v>
      </c>
      <c r="B386" s="19">
        <v>0</v>
      </c>
    </row>
    <row r="387" spans="1:2" x14ac:dyDescent="0.3">
      <c r="A387" s="19">
        <v>437290.26494623657</v>
      </c>
      <c r="B387" s="19">
        <v>0</v>
      </c>
    </row>
    <row r="388" spans="1:2" x14ac:dyDescent="0.3">
      <c r="A388" s="19">
        <v>438421.78490713588</v>
      </c>
      <c r="B388" s="19">
        <v>0</v>
      </c>
    </row>
    <row r="389" spans="1:2" x14ac:dyDescent="0.3">
      <c r="A389" s="19">
        <v>439553.30486803519</v>
      </c>
      <c r="B389" s="19">
        <v>2</v>
      </c>
    </row>
    <row r="390" spans="1:2" x14ac:dyDescent="0.3">
      <c r="A390" s="19">
        <v>440684.82482893451</v>
      </c>
      <c r="B390" s="19">
        <v>0</v>
      </c>
    </row>
    <row r="391" spans="1:2" x14ac:dyDescent="0.3">
      <c r="A391" s="19">
        <v>441816.34478983382</v>
      </c>
      <c r="B391" s="19">
        <v>0</v>
      </c>
    </row>
    <row r="392" spans="1:2" x14ac:dyDescent="0.3">
      <c r="A392" s="19">
        <v>442947.86475073313</v>
      </c>
      <c r="B392" s="19">
        <v>0</v>
      </c>
    </row>
    <row r="393" spans="1:2" x14ac:dyDescent="0.3">
      <c r="A393" s="19">
        <v>444079.38471163245</v>
      </c>
      <c r="B393" s="19">
        <v>0</v>
      </c>
    </row>
    <row r="394" spans="1:2" x14ac:dyDescent="0.3">
      <c r="A394" s="19">
        <v>445210.90467253176</v>
      </c>
      <c r="B394" s="19">
        <v>0</v>
      </c>
    </row>
    <row r="395" spans="1:2" x14ac:dyDescent="0.3">
      <c r="A395" s="19">
        <v>446342.42463343107</v>
      </c>
      <c r="B395" s="19">
        <v>0</v>
      </c>
    </row>
    <row r="396" spans="1:2" x14ac:dyDescent="0.3">
      <c r="A396" s="19">
        <v>447473.94459433039</v>
      </c>
      <c r="B396" s="19">
        <v>0</v>
      </c>
    </row>
    <row r="397" spans="1:2" x14ac:dyDescent="0.3">
      <c r="A397" s="19">
        <v>448605.4645552297</v>
      </c>
      <c r="B397" s="19">
        <v>0</v>
      </c>
    </row>
    <row r="398" spans="1:2" x14ac:dyDescent="0.3">
      <c r="A398" s="19">
        <v>449736.98451612901</v>
      </c>
      <c r="B398" s="19">
        <v>1</v>
      </c>
    </row>
    <row r="399" spans="1:2" x14ac:dyDescent="0.3">
      <c r="A399" s="19">
        <v>450868.50447702839</v>
      </c>
      <c r="B399" s="19">
        <v>0</v>
      </c>
    </row>
    <row r="400" spans="1:2" x14ac:dyDescent="0.3">
      <c r="A400" s="19">
        <v>452000.0244379277</v>
      </c>
      <c r="B400" s="19">
        <v>0</v>
      </c>
    </row>
    <row r="401" spans="1:2" x14ac:dyDescent="0.3">
      <c r="A401" s="19">
        <v>453131.54439882701</v>
      </c>
      <c r="B401" s="19">
        <v>0</v>
      </c>
    </row>
    <row r="402" spans="1:2" x14ac:dyDescent="0.3">
      <c r="A402" s="19">
        <v>454263.06435972633</v>
      </c>
      <c r="B402" s="19">
        <v>0</v>
      </c>
    </row>
    <row r="403" spans="1:2" x14ac:dyDescent="0.3">
      <c r="A403" s="19">
        <v>455394.58432062564</v>
      </c>
      <c r="B403" s="19">
        <v>0</v>
      </c>
    </row>
    <row r="404" spans="1:2" x14ac:dyDescent="0.3">
      <c r="A404" s="19">
        <v>456526.10428152495</v>
      </c>
      <c r="B404" s="19">
        <v>0</v>
      </c>
    </row>
    <row r="405" spans="1:2" x14ac:dyDescent="0.3">
      <c r="A405" s="19">
        <v>457657.62424242427</v>
      </c>
      <c r="B405" s="19">
        <v>0</v>
      </c>
    </row>
    <row r="406" spans="1:2" x14ac:dyDescent="0.3">
      <c r="A406" s="19">
        <v>458789.14420332358</v>
      </c>
      <c r="B406" s="19">
        <v>1</v>
      </c>
    </row>
    <row r="407" spans="1:2" x14ac:dyDescent="0.3">
      <c r="A407" s="19">
        <v>459920.66416422289</v>
      </c>
      <c r="B407" s="19">
        <v>0</v>
      </c>
    </row>
    <row r="408" spans="1:2" x14ac:dyDescent="0.3">
      <c r="A408" s="19">
        <v>461052.18412512221</v>
      </c>
      <c r="B408" s="19">
        <v>1</v>
      </c>
    </row>
    <row r="409" spans="1:2" x14ac:dyDescent="0.3">
      <c r="A409" s="19">
        <v>462183.70408602152</v>
      </c>
      <c r="B409" s="19">
        <v>0</v>
      </c>
    </row>
    <row r="410" spans="1:2" x14ac:dyDescent="0.3">
      <c r="A410" s="19">
        <v>463315.22404692083</v>
      </c>
      <c r="B410" s="19">
        <v>1</v>
      </c>
    </row>
    <row r="411" spans="1:2" x14ac:dyDescent="0.3">
      <c r="A411" s="19">
        <v>464446.74400782015</v>
      </c>
      <c r="B411" s="19">
        <v>0</v>
      </c>
    </row>
    <row r="412" spans="1:2" x14ac:dyDescent="0.3">
      <c r="A412" s="19">
        <v>465578.26396871946</v>
      </c>
      <c r="B412" s="19">
        <v>0</v>
      </c>
    </row>
    <row r="413" spans="1:2" x14ac:dyDescent="0.3">
      <c r="A413" s="19">
        <v>466709.78392961877</v>
      </c>
      <c r="B413" s="19">
        <v>0</v>
      </c>
    </row>
    <row r="414" spans="1:2" x14ac:dyDescent="0.3">
      <c r="A414" s="19">
        <v>467841.30389051809</v>
      </c>
      <c r="B414" s="19">
        <v>0</v>
      </c>
    </row>
    <row r="415" spans="1:2" x14ac:dyDescent="0.3">
      <c r="A415" s="19">
        <v>468972.8238514174</v>
      </c>
      <c r="B415" s="19">
        <v>1</v>
      </c>
    </row>
    <row r="416" spans="1:2" x14ac:dyDescent="0.3">
      <c r="A416" s="19">
        <v>470104.34381231671</v>
      </c>
      <c r="B416" s="19">
        <v>0</v>
      </c>
    </row>
    <row r="417" spans="1:2" x14ac:dyDescent="0.3">
      <c r="A417" s="19">
        <v>471235.86377321603</v>
      </c>
      <c r="B417" s="19">
        <v>0</v>
      </c>
    </row>
    <row r="418" spans="1:2" x14ac:dyDescent="0.3">
      <c r="A418" s="19">
        <v>472367.38373411534</v>
      </c>
      <c r="B418" s="19">
        <v>0</v>
      </c>
    </row>
    <row r="419" spans="1:2" x14ac:dyDescent="0.3">
      <c r="A419" s="19">
        <v>473498.90369501465</v>
      </c>
      <c r="B419" s="19">
        <v>0</v>
      </c>
    </row>
    <row r="420" spans="1:2" x14ac:dyDescent="0.3">
      <c r="A420" s="19">
        <v>474630.42365591397</v>
      </c>
      <c r="B420" s="19">
        <v>0</v>
      </c>
    </row>
    <row r="421" spans="1:2" x14ac:dyDescent="0.3">
      <c r="A421" s="19">
        <v>475761.94361681328</v>
      </c>
      <c r="B421" s="19">
        <v>1</v>
      </c>
    </row>
    <row r="422" spans="1:2" x14ac:dyDescent="0.3">
      <c r="A422" s="19">
        <v>476893.46357771259</v>
      </c>
      <c r="B422" s="19">
        <v>0</v>
      </c>
    </row>
    <row r="423" spans="1:2" x14ac:dyDescent="0.3">
      <c r="A423" s="19">
        <v>478024.98353861191</v>
      </c>
      <c r="B423" s="19">
        <v>0</v>
      </c>
    </row>
    <row r="424" spans="1:2" x14ac:dyDescent="0.3">
      <c r="A424" s="19">
        <v>479156.50349951122</v>
      </c>
      <c r="B424" s="19">
        <v>0</v>
      </c>
    </row>
    <row r="425" spans="1:2" x14ac:dyDescent="0.3">
      <c r="A425" s="19">
        <v>480288.02346041059</v>
      </c>
      <c r="B425" s="19">
        <v>0</v>
      </c>
    </row>
    <row r="426" spans="1:2" x14ac:dyDescent="0.3">
      <c r="A426" s="19">
        <v>481419.54342130991</v>
      </c>
      <c r="B426" s="19">
        <v>1</v>
      </c>
    </row>
    <row r="427" spans="1:2" x14ac:dyDescent="0.3">
      <c r="A427" s="19">
        <v>482551.06338220922</v>
      </c>
      <c r="B427" s="19">
        <v>0</v>
      </c>
    </row>
    <row r="428" spans="1:2" x14ac:dyDescent="0.3">
      <c r="A428" s="19">
        <v>483682.58334310853</v>
      </c>
      <c r="B428" s="19">
        <v>0</v>
      </c>
    </row>
    <row r="429" spans="1:2" x14ac:dyDescent="0.3">
      <c r="A429" s="19">
        <v>484814.10330400785</v>
      </c>
      <c r="B429" s="19">
        <v>2</v>
      </c>
    </row>
    <row r="430" spans="1:2" x14ac:dyDescent="0.3">
      <c r="A430" s="19">
        <v>485945.62326490716</v>
      </c>
      <c r="B430" s="19">
        <v>0</v>
      </c>
    </row>
    <row r="431" spans="1:2" x14ac:dyDescent="0.3">
      <c r="A431" s="19">
        <v>487077.14322580647</v>
      </c>
      <c r="B431" s="19">
        <v>0</v>
      </c>
    </row>
    <row r="432" spans="1:2" x14ac:dyDescent="0.3">
      <c r="A432" s="19">
        <v>488208.66318670579</v>
      </c>
      <c r="B432" s="19">
        <v>0</v>
      </c>
    </row>
    <row r="433" spans="1:2" x14ac:dyDescent="0.3">
      <c r="A433" s="19">
        <v>489340.1831476051</v>
      </c>
      <c r="B433" s="19">
        <v>0</v>
      </c>
    </row>
    <row r="434" spans="1:2" x14ac:dyDescent="0.3">
      <c r="A434" s="19">
        <v>490471.70310850441</v>
      </c>
      <c r="B434" s="19">
        <v>0</v>
      </c>
    </row>
    <row r="435" spans="1:2" x14ac:dyDescent="0.3">
      <c r="A435" s="19">
        <v>491603.22306940373</v>
      </c>
      <c r="B435" s="19">
        <v>1</v>
      </c>
    </row>
    <row r="436" spans="1:2" x14ac:dyDescent="0.3">
      <c r="A436" s="19">
        <v>492734.74303030304</v>
      </c>
      <c r="B436" s="19">
        <v>2</v>
      </c>
    </row>
    <row r="437" spans="1:2" x14ac:dyDescent="0.3">
      <c r="A437" s="19">
        <v>493866.26299120235</v>
      </c>
      <c r="B437" s="19">
        <v>0</v>
      </c>
    </row>
    <row r="438" spans="1:2" x14ac:dyDescent="0.3">
      <c r="A438" s="19">
        <v>494997.78295210167</v>
      </c>
      <c r="B438" s="19">
        <v>0</v>
      </c>
    </row>
    <row r="439" spans="1:2" x14ac:dyDescent="0.3">
      <c r="A439" s="19">
        <v>496129.30291300098</v>
      </c>
      <c r="B439" s="19">
        <v>0</v>
      </c>
    </row>
    <row r="440" spans="1:2" x14ac:dyDescent="0.3">
      <c r="A440" s="19">
        <v>497260.8228739003</v>
      </c>
      <c r="B440" s="19">
        <v>0</v>
      </c>
    </row>
    <row r="441" spans="1:2" x14ac:dyDescent="0.3">
      <c r="A441" s="19">
        <v>498392.34283479961</v>
      </c>
      <c r="B441" s="19">
        <v>0</v>
      </c>
    </row>
    <row r="442" spans="1:2" x14ac:dyDescent="0.3">
      <c r="A442" s="19">
        <v>499523.86279569892</v>
      </c>
      <c r="B442" s="19">
        <v>0</v>
      </c>
    </row>
    <row r="443" spans="1:2" x14ac:dyDescent="0.3">
      <c r="A443" s="19">
        <v>500655.38275659824</v>
      </c>
      <c r="B443" s="19">
        <v>0</v>
      </c>
    </row>
    <row r="444" spans="1:2" x14ac:dyDescent="0.3">
      <c r="A444" s="19">
        <v>501786.90271749755</v>
      </c>
      <c r="B444" s="19">
        <v>0</v>
      </c>
    </row>
    <row r="445" spans="1:2" x14ac:dyDescent="0.3">
      <c r="A445" s="19">
        <v>502918.42267839686</v>
      </c>
      <c r="B445" s="19">
        <v>0</v>
      </c>
    </row>
    <row r="446" spans="1:2" x14ac:dyDescent="0.3">
      <c r="A446" s="19">
        <v>504049.94263929618</v>
      </c>
      <c r="B446" s="19">
        <v>0</v>
      </c>
    </row>
    <row r="447" spans="1:2" x14ac:dyDescent="0.3">
      <c r="A447" s="19">
        <v>505181.46260019549</v>
      </c>
      <c r="B447" s="19">
        <v>0</v>
      </c>
    </row>
    <row r="448" spans="1:2" x14ac:dyDescent="0.3">
      <c r="A448" s="19">
        <v>506312.9825610948</v>
      </c>
      <c r="B448" s="19">
        <v>0</v>
      </c>
    </row>
    <row r="449" spans="1:2" x14ac:dyDescent="0.3">
      <c r="A449" s="19">
        <v>507444.50252199412</v>
      </c>
      <c r="B449" s="19">
        <v>0</v>
      </c>
    </row>
    <row r="450" spans="1:2" x14ac:dyDescent="0.3">
      <c r="A450" s="19">
        <v>508576.02248289349</v>
      </c>
      <c r="B450" s="19">
        <v>1</v>
      </c>
    </row>
    <row r="451" spans="1:2" x14ac:dyDescent="0.3">
      <c r="A451" s="19">
        <v>509707.5424437928</v>
      </c>
      <c r="B451" s="19">
        <v>1</v>
      </c>
    </row>
    <row r="452" spans="1:2" x14ac:dyDescent="0.3">
      <c r="A452" s="19">
        <v>510839.06240469211</v>
      </c>
      <c r="B452" s="19">
        <v>0</v>
      </c>
    </row>
    <row r="453" spans="1:2" x14ac:dyDescent="0.3">
      <c r="A453" s="19">
        <v>511970.58236559143</v>
      </c>
      <c r="B453" s="19">
        <v>0</v>
      </c>
    </row>
    <row r="454" spans="1:2" x14ac:dyDescent="0.3">
      <c r="A454" s="19">
        <v>513102.10232649074</v>
      </c>
      <c r="B454" s="19">
        <v>0</v>
      </c>
    </row>
    <row r="455" spans="1:2" x14ac:dyDescent="0.3">
      <c r="A455" s="19">
        <v>514233.62228739006</v>
      </c>
      <c r="B455" s="19">
        <v>0</v>
      </c>
    </row>
    <row r="456" spans="1:2" x14ac:dyDescent="0.3">
      <c r="A456" s="19">
        <v>515365.14224828937</v>
      </c>
      <c r="B456" s="19">
        <v>1</v>
      </c>
    </row>
    <row r="457" spans="1:2" x14ac:dyDescent="0.3">
      <c r="A457" s="19">
        <v>516496.66220918868</v>
      </c>
      <c r="B457" s="19">
        <v>0</v>
      </c>
    </row>
    <row r="458" spans="1:2" x14ac:dyDescent="0.3">
      <c r="A458" s="19">
        <v>517628.182170088</v>
      </c>
      <c r="B458" s="19">
        <v>0</v>
      </c>
    </row>
    <row r="459" spans="1:2" x14ac:dyDescent="0.3">
      <c r="A459" s="19">
        <v>518759.70213098731</v>
      </c>
      <c r="B459" s="19">
        <v>0</v>
      </c>
    </row>
    <row r="460" spans="1:2" x14ac:dyDescent="0.3">
      <c r="A460" s="19">
        <v>519891.22209188662</v>
      </c>
      <c r="B460" s="19">
        <v>0</v>
      </c>
    </row>
    <row r="461" spans="1:2" x14ac:dyDescent="0.3">
      <c r="A461" s="19">
        <v>521022.74205278594</v>
      </c>
      <c r="B461" s="19">
        <v>0</v>
      </c>
    </row>
    <row r="462" spans="1:2" x14ac:dyDescent="0.3">
      <c r="A462" s="19">
        <v>522154.26201368525</v>
      </c>
      <c r="B462" s="19">
        <v>0</v>
      </c>
    </row>
    <row r="463" spans="1:2" x14ac:dyDescent="0.3">
      <c r="A463" s="19">
        <v>523285.78197458456</v>
      </c>
      <c r="B463" s="19">
        <v>0</v>
      </c>
    </row>
    <row r="464" spans="1:2" x14ac:dyDescent="0.3">
      <c r="A464" s="19">
        <v>524417.30193548382</v>
      </c>
      <c r="B464" s="19">
        <v>0</v>
      </c>
    </row>
    <row r="465" spans="1:2" x14ac:dyDescent="0.3">
      <c r="A465" s="19">
        <v>525548.82189638319</v>
      </c>
      <c r="B465" s="19">
        <v>0</v>
      </c>
    </row>
    <row r="466" spans="1:2" x14ac:dyDescent="0.3">
      <c r="A466" s="19">
        <v>526680.34185728244</v>
      </c>
      <c r="B466" s="19">
        <v>0</v>
      </c>
    </row>
    <row r="467" spans="1:2" x14ac:dyDescent="0.3">
      <c r="A467" s="19">
        <v>527811.86181818182</v>
      </c>
      <c r="B467" s="19">
        <v>1</v>
      </c>
    </row>
    <row r="468" spans="1:2" x14ac:dyDescent="0.3">
      <c r="A468" s="19">
        <v>528943.38177908107</v>
      </c>
      <c r="B468" s="19">
        <v>0</v>
      </c>
    </row>
    <row r="469" spans="1:2" x14ac:dyDescent="0.3">
      <c r="A469" s="19">
        <v>530074.90173998044</v>
      </c>
      <c r="B469" s="19">
        <v>2</v>
      </c>
    </row>
    <row r="470" spans="1:2" x14ac:dyDescent="0.3">
      <c r="A470" s="19">
        <v>531206.4217008797</v>
      </c>
      <c r="B470" s="19">
        <v>1</v>
      </c>
    </row>
    <row r="471" spans="1:2" x14ac:dyDescent="0.3">
      <c r="A471" s="19">
        <v>532337.94166177907</v>
      </c>
      <c r="B471" s="19">
        <v>0</v>
      </c>
    </row>
    <row r="472" spans="1:2" x14ac:dyDescent="0.3">
      <c r="A472" s="19">
        <v>533469.46162267833</v>
      </c>
      <c r="B472" s="19">
        <v>0</v>
      </c>
    </row>
    <row r="473" spans="1:2" x14ac:dyDescent="0.3">
      <c r="A473" s="19">
        <v>534600.9815835777</v>
      </c>
      <c r="B473" s="19">
        <v>1</v>
      </c>
    </row>
    <row r="474" spans="1:2" x14ac:dyDescent="0.3">
      <c r="A474" s="19">
        <v>535732.50154447695</v>
      </c>
      <c r="B474" s="19">
        <v>1</v>
      </c>
    </row>
    <row r="475" spans="1:2" x14ac:dyDescent="0.3">
      <c r="A475" s="19">
        <v>536864.02150537632</v>
      </c>
      <c r="B475" s="19">
        <v>0</v>
      </c>
    </row>
    <row r="476" spans="1:2" x14ac:dyDescent="0.3">
      <c r="A476" s="19">
        <v>537995.54146627558</v>
      </c>
      <c r="B476" s="19">
        <v>0</v>
      </c>
    </row>
    <row r="477" spans="1:2" x14ac:dyDescent="0.3">
      <c r="A477" s="19">
        <v>539127.06142717495</v>
      </c>
      <c r="B477" s="19">
        <v>0</v>
      </c>
    </row>
    <row r="478" spans="1:2" x14ac:dyDescent="0.3">
      <c r="A478" s="19">
        <v>540258.58138807421</v>
      </c>
      <c r="B478" s="19">
        <v>0</v>
      </c>
    </row>
    <row r="479" spans="1:2" x14ac:dyDescent="0.3">
      <c r="A479" s="19">
        <v>541390.10134897358</v>
      </c>
      <c r="B479" s="19">
        <v>0</v>
      </c>
    </row>
    <row r="480" spans="1:2" x14ac:dyDescent="0.3">
      <c r="A480" s="19">
        <v>542521.62130987283</v>
      </c>
      <c r="B480" s="19">
        <v>0</v>
      </c>
    </row>
    <row r="481" spans="1:2" x14ac:dyDescent="0.3">
      <c r="A481" s="19">
        <v>543653.1412707722</v>
      </c>
      <c r="B481" s="19">
        <v>0</v>
      </c>
    </row>
    <row r="482" spans="1:2" x14ac:dyDescent="0.3">
      <c r="A482" s="19">
        <v>544784.66123167146</v>
      </c>
      <c r="B482" s="19">
        <v>0</v>
      </c>
    </row>
    <row r="483" spans="1:2" x14ac:dyDescent="0.3">
      <c r="A483" s="19">
        <v>545916.18119257083</v>
      </c>
      <c r="B483" s="19">
        <v>2</v>
      </c>
    </row>
    <row r="484" spans="1:2" x14ac:dyDescent="0.3">
      <c r="A484" s="19">
        <v>547047.70115347009</v>
      </c>
      <c r="B484" s="19">
        <v>0</v>
      </c>
    </row>
    <row r="485" spans="1:2" x14ac:dyDescent="0.3">
      <c r="A485" s="19">
        <v>548179.22111436946</v>
      </c>
      <c r="B485" s="19">
        <v>0</v>
      </c>
    </row>
    <row r="486" spans="1:2" x14ac:dyDescent="0.3">
      <c r="A486" s="19">
        <v>549310.74107526871</v>
      </c>
      <c r="B486" s="19">
        <v>0</v>
      </c>
    </row>
    <row r="487" spans="1:2" x14ac:dyDescent="0.3">
      <c r="A487" s="19">
        <v>550442.26103616809</v>
      </c>
      <c r="B487" s="19">
        <v>0</v>
      </c>
    </row>
    <row r="488" spans="1:2" x14ac:dyDescent="0.3">
      <c r="A488" s="19">
        <v>551573.78099706734</v>
      </c>
      <c r="B488" s="19">
        <v>0</v>
      </c>
    </row>
    <row r="489" spans="1:2" x14ac:dyDescent="0.3">
      <c r="A489" s="19">
        <v>552705.30095796671</v>
      </c>
      <c r="B489" s="19">
        <v>1</v>
      </c>
    </row>
    <row r="490" spans="1:2" x14ac:dyDescent="0.3">
      <c r="A490" s="19">
        <v>553836.82091886608</v>
      </c>
      <c r="B490" s="19">
        <v>0</v>
      </c>
    </row>
    <row r="491" spans="1:2" x14ac:dyDescent="0.3">
      <c r="A491" s="19">
        <v>554968.34087976534</v>
      </c>
      <c r="B491" s="19">
        <v>0</v>
      </c>
    </row>
    <row r="492" spans="1:2" x14ac:dyDescent="0.3">
      <c r="A492" s="19">
        <v>556099.86084066471</v>
      </c>
      <c r="B492" s="19">
        <v>0</v>
      </c>
    </row>
    <row r="493" spans="1:2" x14ac:dyDescent="0.3">
      <c r="A493" s="19">
        <v>557231.38080156397</v>
      </c>
      <c r="B493" s="19">
        <v>0</v>
      </c>
    </row>
    <row r="494" spans="1:2" x14ac:dyDescent="0.3">
      <c r="A494" s="19">
        <v>558362.90076246334</v>
      </c>
      <c r="B494" s="19">
        <v>1</v>
      </c>
    </row>
    <row r="495" spans="1:2" x14ac:dyDescent="0.3">
      <c r="A495" s="19">
        <v>559494.42072336259</v>
      </c>
      <c r="B495" s="19">
        <v>0</v>
      </c>
    </row>
    <row r="496" spans="1:2" x14ac:dyDescent="0.3">
      <c r="A496" s="19">
        <v>560625.94068426196</v>
      </c>
      <c r="B496" s="19">
        <v>0</v>
      </c>
    </row>
    <row r="497" spans="1:2" x14ac:dyDescent="0.3">
      <c r="A497" s="19">
        <v>561757.46064516122</v>
      </c>
      <c r="B497" s="19">
        <v>0</v>
      </c>
    </row>
    <row r="498" spans="1:2" x14ac:dyDescent="0.3">
      <c r="A498" s="19">
        <v>562888.98060606059</v>
      </c>
      <c r="B498" s="19">
        <v>0</v>
      </c>
    </row>
    <row r="499" spans="1:2" x14ac:dyDescent="0.3">
      <c r="A499" s="19">
        <v>564020.50056695985</v>
      </c>
      <c r="B499" s="19">
        <v>2</v>
      </c>
    </row>
    <row r="500" spans="1:2" x14ac:dyDescent="0.3">
      <c r="A500" s="19">
        <v>565152.02052785922</v>
      </c>
      <c r="B500" s="19">
        <v>0</v>
      </c>
    </row>
    <row r="501" spans="1:2" x14ac:dyDescent="0.3">
      <c r="A501" s="19">
        <v>566283.54048875847</v>
      </c>
      <c r="B501" s="19">
        <v>0</v>
      </c>
    </row>
    <row r="502" spans="1:2" x14ac:dyDescent="0.3">
      <c r="A502" s="19">
        <v>567415.06044965785</v>
      </c>
      <c r="B502" s="19">
        <v>0</v>
      </c>
    </row>
    <row r="503" spans="1:2" x14ac:dyDescent="0.3">
      <c r="A503" s="19">
        <v>568546.5804105571</v>
      </c>
      <c r="B503" s="19">
        <v>1</v>
      </c>
    </row>
    <row r="504" spans="1:2" x14ac:dyDescent="0.3">
      <c r="A504" s="19">
        <v>569678.10037145647</v>
      </c>
      <c r="B504" s="19">
        <v>0</v>
      </c>
    </row>
    <row r="505" spans="1:2" x14ac:dyDescent="0.3">
      <c r="A505" s="19">
        <v>570809.62033235573</v>
      </c>
      <c r="B505" s="19">
        <v>0</v>
      </c>
    </row>
    <row r="506" spans="1:2" x14ac:dyDescent="0.3">
      <c r="A506" s="19">
        <v>571941.1402932551</v>
      </c>
      <c r="B506" s="19">
        <v>0</v>
      </c>
    </row>
    <row r="507" spans="1:2" x14ac:dyDescent="0.3">
      <c r="A507" s="19">
        <v>573072.66025415435</v>
      </c>
      <c r="B507" s="19">
        <v>0</v>
      </c>
    </row>
    <row r="508" spans="1:2" x14ac:dyDescent="0.3">
      <c r="A508" s="19">
        <v>574204.18021505373</v>
      </c>
      <c r="B508" s="19">
        <v>1</v>
      </c>
    </row>
    <row r="509" spans="1:2" x14ac:dyDescent="0.3">
      <c r="A509" s="19">
        <v>575335.70017595298</v>
      </c>
      <c r="B509" s="19">
        <v>0</v>
      </c>
    </row>
    <row r="510" spans="1:2" x14ac:dyDescent="0.3">
      <c r="A510" s="19">
        <v>576467.22013685235</v>
      </c>
      <c r="B510" s="19">
        <v>0</v>
      </c>
    </row>
    <row r="511" spans="1:2" x14ac:dyDescent="0.3">
      <c r="A511" s="19">
        <v>577598.74009775161</v>
      </c>
      <c r="B511" s="19">
        <v>0</v>
      </c>
    </row>
    <row r="512" spans="1:2" x14ac:dyDescent="0.3">
      <c r="A512" s="19">
        <v>578730.26005865098</v>
      </c>
      <c r="B512" s="19">
        <v>1</v>
      </c>
    </row>
    <row r="513" spans="1:2" x14ac:dyDescent="0.3">
      <c r="A513" s="19">
        <v>579861.78001955024</v>
      </c>
      <c r="B513" s="19">
        <v>0</v>
      </c>
    </row>
    <row r="514" spans="1:2" x14ac:dyDescent="0.3">
      <c r="A514" s="19">
        <v>580993.29998044961</v>
      </c>
      <c r="B514" s="19">
        <v>0</v>
      </c>
    </row>
    <row r="515" spans="1:2" x14ac:dyDescent="0.3">
      <c r="A515" s="19">
        <v>582124.81994134898</v>
      </c>
      <c r="B515" s="19">
        <v>2</v>
      </c>
    </row>
    <row r="516" spans="1:2" x14ac:dyDescent="0.3">
      <c r="A516" s="19">
        <v>583256.33990224823</v>
      </c>
      <c r="B516" s="19">
        <v>0</v>
      </c>
    </row>
    <row r="517" spans="1:2" x14ac:dyDescent="0.3">
      <c r="A517" s="19">
        <v>584387.85986314761</v>
      </c>
      <c r="B517" s="19">
        <v>0</v>
      </c>
    </row>
    <row r="518" spans="1:2" x14ac:dyDescent="0.3">
      <c r="A518" s="19">
        <v>585519.37982404686</v>
      </c>
      <c r="B518" s="19">
        <v>0</v>
      </c>
    </row>
    <row r="519" spans="1:2" x14ac:dyDescent="0.3">
      <c r="A519" s="19">
        <v>586650.89978494623</v>
      </c>
      <c r="B519" s="19">
        <v>0</v>
      </c>
    </row>
    <row r="520" spans="1:2" x14ac:dyDescent="0.3">
      <c r="A520" s="19">
        <v>587782.41974584549</v>
      </c>
      <c r="B520" s="19">
        <v>0</v>
      </c>
    </row>
    <row r="521" spans="1:2" x14ac:dyDescent="0.3">
      <c r="A521" s="19">
        <v>588913.93970674486</v>
      </c>
      <c r="B521" s="19">
        <v>0</v>
      </c>
    </row>
    <row r="522" spans="1:2" x14ac:dyDescent="0.3">
      <c r="A522" s="19">
        <v>590045.45966764411</v>
      </c>
      <c r="B522" s="19">
        <v>2</v>
      </c>
    </row>
    <row r="523" spans="1:2" x14ac:dyDescent="0.3">
      <c r="A523" s="19">
        <v>591176.97962854349</v>
      </c>
      <c r="B523" s="19">
        <v>0</v>
      </c>
    </row>
    <row r="524" spans="1:2" x14ac:dyDescent="0.3">
      <c r="A524" s="19">
        <v>592308.49958944274</v>
      </c>
      <c r="B524" s="19">
        <v>0</v>
      </c>
    </row>
    <row r="525" spans="1:2" x14ac:dyDescent="0.3">
      <c r="A525" s="19">
        <v>593440.01955034211</v>
      </c>
      <c r="B525" s="19">
        <v>0</v>
      </c>
    </row>
    <row r="526" spans="1:2" x14ac:dyDescent="0.3">
      <c r="A526" s="19">
        <v>594571.53951124137</v>
      </c>
      <c r="B526" s="19">
        <v>0</v>
      </c>
    </row>
    <row r="527" spans="1:2" x14ac:dyDescent="0.3">
      <c r="A527" s="19">
        <v>595703.05947214074</v>
      </c>
      <c r="B527" s="19">
        <v>0</v>
      </c>
    </row>
    <row r="528" spans="1:2" x14ac:dyDescent="0.3">
      <c r="A528" s="19">
        <v>596834.57943303999</v>
      </c>
      <c r="B528" s="19">
        <v>0</v>
      </c>
    </row>
    <row r="529" spans="1:2" x14ac:dyDescent="0.3">
      <c r="A529" s="19">
        <v>597966.09939393937</v>
      </c>
      <c r="B529" s="19">
        <v>2</v>
      </c>
    </row>
    <row r="530" spans="1:2" x14ac:dyDescent="0.3">
      <c r="A530" s="19">
        <v>599097.61935483862</v>
      </c>
      <c r="B530" s="19">
        <v>0</v>
      </c>
    </row>
    <row r="531" spans="1:2" x14ac:dyDescent="0.3">
      <c r="A531" s="19">
        <v>600229.13931573799</v>
      </c>
      <c r="B531" s="19">
        <v>0</v>
      </c>
    </row>
    <row r="532" spans="1:2" x14ac:dyDescent="0.3">
      <c r="A532" s="19">
        <v>601360.65927663725</v>
      </c>
      <c r="B532" s="19">
        <v>1</v>
      </c>
    </row>
    <row r="533" spans="1:2" x14ac:dyDescent="0.3">
      <c r="A533" s="19">
        <v>602492.17923753662</v>
      </c>
      <c r="B533" s="19">
        <v>0</v>
      </c>
    </row>
    <row r="534" spans="1:2" x14ac:dyDescent="0.3">
      <c r="A534" s="19">
        <v>603623.69919843588</v>
      </c>
      <c r="B534" s="19">
        <v>0</v>
      </c>
    </row>
    <row r="535" spans="1:2" x14ac:dyDescent="0.3">
      <c r="A535" s="19">
        <v>604755.21915933525</v>
      </c>
      <c r="B535" s="19">
        <v>1</v>
      </c>
    </row>
    <row r="536" spans="1:2" x14ac:dyDescent="0.3">
      <c r="A536" s="19">
        <v>605886.7391202345</v>
      </c>
      <c r="B536" s="19">
        <v>0</v>
      </c>
    </row>
    <row r="537" spans="1:2" x14ac:dyDescent="0.3">
      <c r="A537" s="19">
        <v>607018.25908113387</v>
      </c>
      <c r="B537" s="19">
        <v>0</v>
      </c>
    </row>
    <row r="538" spans="1:2" x14ac:dyDescent="0.3">
      <c r="A538" s="19">
        <v>608149.77904203313</v>
      </c>
      <c r="B538" s="19">
        <v>0</v>
      </c>
    </row>
    <row r="539" spans="1:2" x14ac:dyDescent="0.3">
      <c r="A539" s="19">
        <v>609281.2990029325</v>
      </c>
      <c r="B539" s="19">
        <v>2</v>
      </c>
    </row>
    <row r="540" spans="1:2" x14ac:dyDescent="0.3">
      <c r="A540" s="19">
        <v>610412.81896383187</v>
      </c>
      <c r="B540" s="19">
        <v>1</v>
      </c>
    </row>
    <row r="541" spans="1:2" x14ac:dyDescent="0.3">
      <c r="A541" s="19">
        <v>611544.33892473113</v>
      </c>
      <c r="B541" s="19">
        <v>0</v>
      </c>
    </row>
    <row r="542" spans="1:2" x14ac:dyDescent="0.3">
      <c r="A542" s="19">
        <v>612675.8588856305</v>
      </c>
      <c r="B542" s="19">
        <v>0</v>
      </c>
    </row>
    <row r="543" spans="1:2" x14ac:dyDescent="0.3">
      <c r="A543" s="19">
        <v>613807.37884652975</v>
      </c>
      <c r="B543" s="19">
        <v>0</v>
      </c>
    </row>
    <row r="544" spans="1:2" x14ac:dyDescent="0.3">
      <c r="A544" s="19">
        <v>614938.89880742913</v>
      </c>
      <c r="B544" s="19">
        <v>0</v>
      </c>
    </row>
    <row r="545" spans="1:2" x14ac:dyDescent="0.3">
      <c r="A545" s="19">
        <v>616070.41876832838</v>
      </c>
      <c r="B545" s="19">
        <v>0</v>
      </c>
    </row>
    <row r="546" spans="1:2" x14ac:dyDescent="0.3">
      <c r="A546" s="19">
        <v>617201.93872922775</v>
      </c>
      <c r="B546" s="19">
        <v>0</v>
      </c>
    </row>
    <row r="547" spans="1:2" x14ac:dyDescent="0.3">
      <c r="A547" s="19">
        <v>618333.45869012701</v>
      </c>
      <c r="B547" s="19">
        <v>0</v>
      </c>
    </row>
    <row r="548" spans="1:2" x14ac:dyDescent="0.3">
      <c r="A548" s="19">
        <v>619464.97865102638</v>
      </c>
      <c r="B548" s="19">
        <v>2</v>
      </c>
    </row>
    <row r="549" spans="1:2" x14ac:dyDescent="0.3">
      <c r="A549" s="19">
        <v>620596.49861192564</v>
      </c>
      <c r="B549" s="19">
        <v>0</v>
      </c>
    </row>
    <row r="550" spans="1:2" x14ac:dyDescent="0.3">
      <c r="A550" s="19">
        <v>621728.01857282501</v>
      </c>
      <c r="B550" s="19">
        <v>0</v>
      </c>
    </row>
    <row r="551" spans="1:2" x14ac:dyDescent="0.3">
      <c r="A551" s="19">
        <v>622859.53853372426</v>
      </c>
      <c r="B551" s="19">
        <v>0</v>
      </c>
    </row>
    <row r="552" spans="1:2" x14ac:dyDescent="0.3">
      <c r="A552" s="19">
        <v>623991.05849462363</v>
      </c>
      <c r="B552" s="19">
        <v>0</v>
      </c>
    </row>
    <row r="553" spans="1:2" x14ac:dyDescent="0.3">
      <c r="A553" s="19">
        <v>625122.57845552289</v>
      </c>
      <c r="B553" s="19">
        <v>0</v>
      </c>
    </row>
    <row r="554" spans="1:2" x14ac:dyDescent="0.3">
      <c r="A554" s="19">
        <v>626254.09841642226</v>
      </c>
      <c r="B554" s="19">
        <v>0</v>
      </c>
    </row>
    <row r="555" spans="1:2" x14ac:dyDescent="0.3">
      <c r="A555" s="19">
        <v>627385.61837732152</v>
      </c>
      <c r="B555" s="19">
        <v>1</v>
      </c>
    </row>
    <row r="556" spans="1:2" x14ac:dyDescent="0.3">
      <c r="A556" s="19">
        <v>628517.13833822089</v>
      </c>
      <c r="B556" s="19">
        <v>0</v>
      </c>
    </row>
    <row r="557" spans="1:2" x14ac:dyDescent="0.3">
      <c r="A557" s="19">
        <v>629648.65829912014</v>
      </c>
      <c r="B557" s="19">
        <v>0</v>
      </c>
    </row>
    <row r="558" spans="1:2" x14ac:dyDescent="0.3">
      <c r="A558" s="19">
        <v>630780.17826001951</v>
      </c>
      <c r="B558" s="19">
        <v>0</v>
      </c>
    </row>
    <row r="559" spans="1:2" x14ac:dyDescent="0.3">
      <c r="A559" s="19">
        <v>631911.69822091877</v>
      </c>
      <c r="B559" s="19">
        <v>1</v>
      </c>
    </row>
    <row r="560" spans="1:2" x14ac:dyDescent="0.3">
      <c r="A560" s="19">
        <v>633043.21818181814</v>
      </c>
      <c r="B560" s="19">
        <v>0</v>
      </c>
    </row>
    <row r="561" spans="1:2" x14ac:dyDescent="0.3">
      <c r="A561" s="19">
        <v>634174.7381427174</v>
      </c>
      <c r="B561" s="19">
        <v>0</v>
      </c>
    </row>
    <row r="562" spans="1:2" x14ac:dyDescent="0.3">
      <c r="A562" s="19">
        <v>635306.25810361677</v>
      </c>
      <c r="B562" s="19">
        <v>1</v>
      </c>
    </row>
    <row r="563" spans="1:2" x14ac:dyDescent="0.3">
      <c r="A563" s="19">
        <v>636437.77806451602</v>
      </c>
      <c r="B563" s="19">
        <v>0</v>
      </c>
    </row>
    <row r="564" spans="1:2" x14ac:dyDescent="0.3">
      <c r="A564" s="19">
        <v>637569.2980254154</v>
      </c>
      <c r="B564" s="19">
        <v>0</v>
      </c>
    </row>
    <row r="565" spans="1:2" x14ac:dyDescent="0.3">
      <c r="A565" s="19">
        <v>638700.81798631465</v>
      </c>
      <c r="B565" s="19">
        <v>0</v>
      </c>
    </row>
    <row r="566" spans="1:2" x14ac:dyDescent="0.3">
      <c r="A566" s="19">
        <v>639832.33794721402</v>
      </c>
      <c r="B566" s="19">
        <v>0</v>
      </c>
    </row>
    <row r="567" spans="1:2" x14ac:dyDescent="0.3">
      <c r="A567" s="19">
        <v>640963.85790811339</v>
      </c>
      <c r="B567" s="19">
        <v>2</v>
      </c>
    </row>
    <row r="568" spans="1:2" x14ac:dyDescent="0.3">
      <c r="A568" s="19">
        <v>642095.37786901265</v>
      </c>
      <c r="B568" s="19">
        <v>0</v>
      </c>
    </row>
    <row r="569" spans="1:2" x14ac:dyDescent="0.3">
      <c r="A569" s="19">
        <v>643226.89782991202</v>
      </c>
      <c r="B569" s="19">
        <v>0</v>
      </c>
    </row>
    <row r="570" spans="1:2" x14ac:dyDescent="0.3">
      <c r="A570" s="19">
        <v>644358.41779081128</v>
      </c>
      <c r="B570" s="19">
        <v>0</v>
      </c>
    </row>
    <row r="571" spans="1:2" x14ac:dyDescent="0.3">
      <c r="A571" s="19">
        <v>645489.93775171065</v>
      </c>
      <c r="B571" s="19">
        <v>1</v>
      </c>
    </row>
    <row r="572" spans="1:2" x14ac:dyDescent="0.3">
      <c r="A572" s="19">
        <v>646621.4577126099</v>
      </c>
      <c r="B572" s="19">
        <v>0</v>
      </c>
    </row>
    <row r="573" spans="1:2" x14ac:dyDescent="0.3">
      <c r="A573" s="19">
        <v>647752.97767350927</v>
      </c>
      <c r="B573" s="19">
        <v>0</v>
      </c>
    </row>
    <row r="574" spans="1:2" x14ac:dyDescent="0.3">
      <c r="A574" s="19">
        <v>648884.49763440853</v>
      </c>
      <c r="B574" s="19">
        <v>0</v>
      </c>
    </row>
    <row r="575" spans="1:2" x14ac:dyDescent="0.3">
      <c r="A575" s="19">
        <v>650016.0175953079</v>
      </c>
      <c r="B575" s="19">
        <v>0</v>
      </c>
    </row>
    <row r="576" spans="1:2" x14ac:dyDescent="0.3">
      <c r="A576" s="19">
        <v>651147.53755620716</v>
      </c>
      <c r="B576" s="19">
        <v>0</v>
      </c>
    </row>
    <row r="577" spans="1:2" x14ac:dyDescent="0.3">
      <c r="A577" s="19">
        <v>652279.05751710653</v>
      </c>
      <c r="B577" s="19">
        <v>0</v>
      </c>
    </row>
    <row r="578" spans="1:2" x14ac:dyDescent="0.3">
      <c r="A578" s="19">
        <v>653410.57747800578</v>
      </c>
      <c r="B578" s="19">
        <v>0</v>
      </c>
    </row>
    <row r="579" spans="1:2" x14ac:dyDescent="0.3">
      <c r="A579" s="19">
        <v>654542.09743890516</v>
      </c>
      <c r="B579" s="19">
        <v>1</v>
      </c>
    </row>
    <row r="580" spans="1:2" x14ac:dyDescent="0.3">
      <c r="A580" s="19">
        <v>655673.61739980441</v>
      </c>
      <c r="B580" s="19">
        <v>2</v>
      </c>
    </row>
    <row r="581" spans="1:2" x14ac:dyDescent="0.3">
      <c r="A581" s="19">
        <v>656805.13736070378</v>
      </c>
      <c r="B581" s="19">
        <v>1</v>
      </c>
    </row>
    <row r="582" spans="1:2" x14ac:dyDescent="0.3">
      <c r="A582" s="19">
        <v>657936.65732160304</v>
      </c>
      <c r="B582" s="19">
        <v>0</v>
      </c>
    </row>
    <row r="583" spans="1:2" x14ac:dyDescent="0.3">
      <c r="A583" s="19">
        <v>659068.17728250241</v>
      </c>
      <c r="B583" s="19">
        <v>0</v>
      </c>
    </row>
    <row r="584" spans="1:2" x14ac:dyDescent="0.3">
      <c r="A584" s="19">
        <v>660199.69724340166</v>
      </c>
      <c r="B584" s="19">
        <v>1</v>
      </c>
    </row>
    <row r="585" spans="1:2" x14ac:dyDescent="0.3">
      <c r="A585" s="19">
        <v>661331.21720430104</v>
      </c>
      <c r="B585" s="19">
        <v>0</v>
      </c>
    </row>
    <row r="586" spans="1:2" x14ac:dyDescent="0.3">
      <c r="A586" s="19">
        <v>662462.73716520029</v>
      </c>
      <c r="B586" s="19">
        <v>0</v>
      </c>
    </row>
    <row r="587" spans="1:2" x14ac:dyDescent="0.3">
      <c r="A587" s="19">
        <v>663594.25712609966</v>
      </c>
      <c r="B587" s="19">
        <v>0</v>
      </c>
    </row>
    <row r="588" spans="1:2" x14ac:dyDescent="0.3">
      <c r="A588" s="19">
        <v>664725.77708699892</v>
      </c>
      <c r="B588" s="19">
        <v>0</v>
      </c>
    </row>
    <row r="589" spans="1:2" x14ac:dyDescent="0.3">
      <c r="A589" s="19">
        <v>665857.29704789829</v>
      </c>
      <c r="B589" s="19">
        <v>1</v>
      </c>
    </row>
    <row r="590" spans="1:2" x14ac:dyDescent="0.3">
      <c r="A590" s="19">
        <v>666988.81700879754</v>
      </c>
      <c r="B590" s="19">
        <v>0</v>
      </c>
    </row>
    <row r="591" spans="1:2" x14ac:dyDescent="0.3">
      <c r="A591" s="19">
        <v>668120.33696969692</v>
      </c>
      <c r="B591" s="19">
        <v>0</v>
      </c>
    </row>
    <row r="592" spans="1:2" x14ac:dyDescent="0.3">
      <c r="A592" s="19">
        <v>669251.85693059629</v>
      </c>
      <c r="B592" s="19">
        <v>0</v>
      </c>
    </row>
    <row r="593" spans="1:2" x14ac:dyDescent="0.3">
      <c r="A593" s="19">
        <v>670383.37689149554</v>
      </c>
      <c r="B593" s="19">
        <v>0</v>
      </c>
    </row>
    <row r="594" spans="1:2" x14ac:dyDescent="0.3">
      <c r="A594" s="19">
        <v>671514.89685239492</v>
      </c>
      <c r="B594" s="19">
        <v>1</v>
      </c>
    </row>
    <row r="595" spans="1:2" x14ac:dyDescent="0.3">
      <c r="A595" s="19">
        <v>672646.41681329417</v>
      </c>
      <c r="B595" s="19">
        <v>0</v>
      </c>
    </row>
    <row r="596" spans="1:2" x14ac:dyDescent="0.3">
      <c r="A596" s="19">
        <v>673777.93677419354</v>
      </c>
      <c r="B596" s="19">
        <v>0</v>
      </c>
    </row>
    <row r="597" spans="1:2" x14ac:dyDescent="0.3">
      <c r="A597" s="19">
        <v>674909.4567350928</v>
      </c>
      <c r="B597" s="19">
        <v>0</v>
      </c>
    </row>
    <row r="598" spans="1:2" x14ac:dyDescent="0.3">
      <c r="A598" s="19">
        <v>676040.97669599217</v>
      </c>
      <c r="B598" s="19">
        <v>0</v>
      </c>
    </row>
    <row r="599" spans="1:2" x14ac:dyDescent="0.3">
      <c r="A599" s="19">
        <v>677172.49665689142</v>
      </c>
      <c r="B599" s="19">
        <v>0</v>
      </c>
    </row>
    <row r="600" spans="1:2" x14ac:dyDescent="0.3">
      <c r="A600" s="19">
        <v>678304.0166177908</v>
      </c>
      <c r="B600" s="19">
        <v>0</v>
      </c>
    </row>
    <row r="601" spans="1:2" x14ac:dyDescent="0.3">
      <c r="A601" s="19">
        <v>679435.53657869005</v>
      </c>
      <c r="B601" s="19">
        <v>2</v>
      </c>
    </row>
    <row r="602" spans="1:2" x14ac:dyDescent="0.3">
      <c r="A602" s="19">
        <v>680567.05653958942</v>
      </c>
      <c r="B602" s="19">
        <v>1</v>
      </c>
    </row>
    <row r="603" spans="1:2" x14ac:dyDescent="0.3">
      <c r="A603" s="19">
        <v>681698.57650048868</v>
      </c>
      <c r="B603" s="19">
        <v>0</v>
      </c>
    </row>
    <row r="604" spans="1:2" x14ac:dyDescent="0.3">
      <c r="A604" s="19">
        <v>682830.09646138805</v>
      </c>
      <c r="B604" s="19">
        <v>0</v>
      </c>
    </row>
    <row r="605" spans="1:2" x14ac:dyDescent="0.3">
      <c r="A605" s="19">
        <v>683961.6164222873</v>
      </c>
      <c r="B605" s="19">
        <v>3</v>
      </c>
    </row>
    <row r="606" spans="1:2" x14ac:dyDescent="0.3">
      <c r="A606" s="19">
        <v>685093.13638318668</v>
      </c>
      <c r="B606" s="19">
        <v>0</v>
      </c>
    </row>
    <row r="607" spans="1:2" x14ac:dyDescent="0.3">
      <c r="A607" s="19">
        <v>686224.65634408593</v>
      </c>
      <c r="B607" s="19">
        <v>0</v>
      </c>
    </row>
    <row r="608" spans="1:2" x14ac:dyDescent="0.3">
      <c r="A608" s="19">
        <v>687356.1763049853</v>
      </c>
      <c r="B608" s="19">
        <v>1</v>
      </c>
    </row>
    <row r="609" spans="1:2" x14ac:dyDescent="0.3">
      <c r="A609" s="19">
        <v>688487.69626588456</v>
      </c>
      <c r="B609" s="19">
        <v>0</v>
      </c>
    </row>
    <row r="610" spans="1:2" x14ac:dyDescent="0.3">
      <c r="A610" s="19">
        <v>689619.21622678393</v>
      </c>
      <c r="B610" s="19">
        <v>0</v>
      </c>
    </row>
    <row r="611" spans="1:2" x14ac:dyDescent="0.3">
      <c r="A611" s="19">
        <v>690750.73618768319</v>
      </c>
      <c r="B611" s="19">
        <v>0</v>
      </c>
    </row>
    <row r="612" spans="1:2" x14ac:dyDescent="0.3">
      <c r="A612" s="19">
        <v>691882.25614858256</v>
      </c>
      <c r="B612" s="19">
        <v>1</v>
      </c>
    </row>
    <row r="613" spans="1:2" x14ac:dyDescent="0.3">
      <c r="A613" s="19">
        <v>693013.77610948181</v>
      </c>
      <c r="B613" s="19">
        <v>0</v>
      </c>
    </row>
    <row r="614" spans="1:2" x14ac:dyDescent="0.3">
      <c r="A614" s="19">
        <v>694145.29607038118</v>
      </c>
      <c r="B614" s="19">
        <v>0</v>
      </c>
    </row>
    <row r="615" spans="1:2" x14ac:dyDescent="0.3">
      <c r="A615" s="19">
        <v>695276.81603128044</v>
      </c>
      <c r="B615" s="19">
        <v>0</v>
      </c>
    </row>
    <row r="616" spans="1:2" x14ac:dyDescent="0.3">
      <c r="A616" s="19">
        <v>696408.33599217981</v>
      </c>
      <c r="B616" s="19">
        <v>0</v>
      </c>
    </row>
    <row r="617" spans="1:2" x14ac:dyDescent="0.3">
      <c r="A617" s="19">
        <v>697539.85595307918</v>
      </c>
      <c r="B617" s="19">
        <v>0</v>
      </c>
    </row>
    <row r="618" spans="1:2" x14ac:dyDescent="0.3">
      <c r="A618" s="19">
        <v>698671.37591397844</v>
      </c>
      <c r="B618" s="19">
        <v>0</v>
      </c>
    </row>
    <row r="619" spans="1:2" x14ac:dyDescent="0.3">
      <c r="A619" s="19">
        <v>699802.89587487781</v>
      </c>
      <c r="B619" s="19">
        <v>0</v>
      </c>
    </row>
    <row r="620" spans="1:2" x14ac:dyDescent="0.3">
      <c r="A620" s="19">
        <v>700934.41583577706</v>
      </c>
      <c r="B620" s="19">
        <v>1</v>
      </c>
    </row>
    <row r="621" spans="1:2" x14ac:dyDescent="0.3">
      <c r="A621" s="19">
        <v>702065.93579667644</v>
      </c>
      <c r="B621" s="19">
        <v>0</v>
      </c>
    </row>
    <row r="622" spans="1:2" x14ac:dyDescent="0.3">
      <c r="A622" s="19">
        <v>703197.45575757569</v>
      </c>
      <c r="B622" s="19">
        <v>0</v>
      </c>
    </row>
    <row r="623" spans="1:2" x14ac:dyDescent="0.3">
      <c r="A623" s="19">
        <v>704328.97571847506</v>
      </c>
      <c r="B623" s="19">
        <v>0</v>
      </c>
    </row>
    <row r="624" spans="1:2" x14ac:dyDescent="0.3">
      <c r="A624" s="19">
        <v>705460.49567937432</v>
      </c>
      <c r="B624" s="19">
        <v>0</v>
      </c>
    </row>
    <row r="625" spans="1:2" x14ac:dyDescent="0.3">
      <c r="A625" s="19">
        <v>706592.01564027369</v>
      </c>
      <c r="B625" s="19">
        <v>1</v>
      </c>
    </row>
    <row r="626" spans="1:2" x14ac:dyDescent="0.3">
      <c r="A626" s="19">
        <v>707723.53560117295</v>
      </c>
      <c r="B626" s="19">
        <v>0</v>
      </c>
    </row>
    <row r="627" spans="1:2" x14ac:dyDescent="0.3">
      <c r="A627" s="19">
        <v>708855.05556207232</v>
      </c>
      <c r="B627" s="19">
        <v>1</v>
      </c>
    </row>
    <row r="628" spans="1:2" x14ac:dyDescent="0.3">
      <c r="A628" s="19">
        <v>709986.57552297157</v>
      </c>
      <c r="B628" s="19">
        <v>0</v>
      </c>
    </row>
    <row r="629" spans="1:2" x14ac:dyDescent="0.3">
      <c r="A629" s="19">
        <v>711118.09548387094</v>
      </c>
      <c r="B629" s="19">
        <v>0</v>
      </c>
    </row>
    <row r="630" spans="1:2" x14ac:dyDescent="0.3">
      <c r="A630" s="19">
        <v>712249.6154447702</v>
      </c>
      <c r="B630" s="19">
        <v>0</v>
      </c>
    </row>
    <row r="631" spans="1:2" x14ac:dyDescent="0.3">
      <c r="A631" s="19">
        <v>713381.13540566957</v>
      </c>
      <c r="B631" s="19">
        <v>0</v>
      </c>
    </row>
    <row r="632" spans="1:2" x14ac:dyDescent="0.3">
      <c r="A632" s="19">
        <v>714512.65536656883</v>
      </c>
      <c r="B632" s="19">
        <v>0</v>
      </c>
    </row>
    <row r="633" spans="1:2" x14ac:dyDescent="0.3">
      <c r="A633" s="19">
        <v>715644.1753274682</v>
      </c>
      <c r="B633" s="19">
        <v>0</v>
      </c>
    </row>
    <row r="634" spans="1:2" x14ac:dyDescent="0.3">
      <c r="A634" s="19">
        <v>716775.69528836745</v>
      </c>
      <c r="B634" s="19">
        <v>0</v>
      </c>
    </row>
    <row r="635" spans="1:2" x14ac:dyDescent="0.3">
      <c r="A635" s="19">
        <v>717907.21524926682</v>
      </c>
      <c r="B635" s="19">
        <v>0</v>
      </c>
    </row>
    <row r="636" spans="1:2" x14ac:dyDescent="0.3">
      <c r="A636" s="19">
        <v>719038.73521016608</v>
      </c>
      <c r="B636" s="19">
        <v>0</v>
      </c>
    </row>
    <row r="637" spans="1:2" x14ac:dyDescent="0.3">
      <c r="A637" s="19">
        <v>720170.25517106545</v>
      </c>
      <c r="B637" s="19">
        <v>0</v>
      </c>
    </row>
    <row r="638" spans="1:2" x14ac:dyDescent="0.3">
      <c r="A638" s="19">
        <v>721301.77513196471</v>
      </c>
      <c r="B638" s="19">
        <v>0</v>
      </c>
    </row>
    <row r="639" spans="1:2" x14ac:dyDescent="0.3">
      <c r="A639" s="19">
        <v>722433.29509286408</v>
      </c>
      <c r="B639" s="19">
        <v>0</v>
      </c>
    </row>
    <row r="640" spans="1:2" x14ac:dyDescent="0.3">
      <c r="A640" s="19">
        <v>723564.81505376333</v>
      </c>
      <c r="B640" s="19">
        <v>0</v>
      </c>
    </row>
    <row r="641" spans="1:2" x14ac:dyDescent="0.3">
      <c r="A641" s="19">
        <v>724696.33501466271</v>
      </c>
      <c r="B641" s="19">
        <v>0</v>
      </c>
    </row>
    <row r="642" spans="1:2" x14ac:dyDescent="0.3">
      <c r="A642" s="19">
        <v>725827.85497556196</v>
      </c>
      <c r="B642" s="19">
        <v>0</v>
      </c>
    </row>
    <row r="643" spans="1:2" x14ac:dyDescent="0.3">
      <c r="A643" s="19">
        <v>726959.37493646133</v>
      </c>
      <c r="B643" s="19">
        <v>1</v>
      </c>
    </row>
    <row r="644" spans="1:2" x14ac:dyDescent="0.3">
      <c r="A644" s="19">
        <v>728090.8948973607</v>
      </c>
      <c r="B644" s="19">
        <v>0</v>
      </c>
    </row>
    <row r="645" spans="1:2" x14ac:dyDescent="0.3">
      <c r="A645" s="19">
        <v>729222.41485825996</v>
      </c>
      <c r="B645" s="19">
        <v>1</v>
      </c>
    </row>
    <row r="646" spans="1:2" x14ac:dyDescent="0.3">
      <c r="A646" s="19">
        <v>730353.93481915933</v>
      </c>
      <c r="B646" s="19">
        <v>0</v>
      </c>
    </row>
    <row r="647" spans="1:2" x14ac:dyDescent="0.3">
      <c r="A647" s="19">
        <v>731485.45478005859</v>
      </c>
      <c r="B647" s="19">
        <v>2</v>
      </c>
    </row>
    <row r="648" spans="1:2" x14ac:dyDescent="0.3">
      <c r="A648" s="19">
        <v>732616.97474095796</v>
      </c>
      <c r="B648" s="19">
        <v>0</v>
      </c>
    </row>
    <row r="649" spans="1:2" x14ac:dyDescent="0.3">
      <c r="A649" s="19">
        <v>733748.49470185721</v>
      </c>
      <c r="B649" s="19">
        <v>0</v>
      </c>
    </row>
    <row r="650" spans="1:2" x14ac:dyDescent="0.3">
      <c r="A650" s="19">
        <v>734880.01466275658</v>
      </c>
      <c r="B650" s="19">
        <v>0</v>
      </c>
    </row>
    <row r="651" spans="1:2" x14ac:dyDescent="0.3">
      <c r="A651" s="19">
        <v>736011.53462365584</v>
      </c>
      <c r="B651" s="19">
        <v>0</v>
      </c>
    </row>
    <row r="652" spans="1:2" x14ac:dyDescent="0.3">
      <c r="A652" s="19">
        <v>737143.05458455521</v>
      </c>
      <c r="B652" s="19">
        <v>0</v>
      </c>
    </row>
    <row r="653" spans="1:2" x14ac:dyDescent="0.3">
      <c r="A653" s="19">
        <v>738274.57454545447</v>
      </c>
      <c r="B653" s="19">
        <v>0</v>
      </c>
    </row>
    <row r="654" spans="1:2" x14ac:dyDescent="0.3">
      <c r="A654" s="19">
        <v>739406.09450635384</v>
      </c>
      <c r="B654" s="19">
        <v>0</v>
      </c>
    </row>
    <row r="655" spans="1:2" x14ac:dyDescent="0.3">
      <c r="A655" s="19">
        <v>740537.61446725309</v>
      </c>
      <c r="B655" s="19">
        <v>0</v>
      </c>
    </row>
    <row r="656" spans="1:2" x14ac:dyDescent="0.3">
      <c r="A656" s="19">
        <v>741669.13442815247</v>
      </c>
      <c r="B656" s="19">
        <v>0</v>
      </c>
    </row>
    <row r="657" spans="1:2" x14ac:dyDescent="0.3">
      <c r="A657" s="19">
        <v>742800.65438905172</v>
      </c>
      <c r="B657" s="19">
        <v>1</v>
      </c>
    </row>
    <row r="658" spans="1:2" x14ac:dyDescent="0.3">
      <c r="A658" s="19">
        <v>743932.17434995109</v>
      </c>
      <c r="B658" s="19">
        <v>0</v>
      </c>
    </row>
    <row r="659" spans="1:2" x14ac:dyDescent="0.3">
      <c r="A659" s="19">
        <v>745063.69431085035</v>
      </c>
      <c r="B659" s="19">
        <v>0</v>
      </c>
    </row>
    <row r="660" spans="1:2" x14ac:dyDescent="0.3">
      <c r="A660" s="19">
        <v>746195.21427174972</v>
      </c>
      <c r="B660" s="19">
        <v>0</v>
      </c>
    </row>
    <row r="661" spans="1:2" x14ac:dyDescent="0.3">
      <c r="A661" s="19">
        <v>747326.73423264897</v>
      </c>
      <c r="B661" s="19">
        <v>2</v>
      </c>
    </row>
    <row r="662" spans="1:2" x14ac:dyDescent="0.3">
      <c r="A662" s="19">
        <v>748458.25419354835</v>
      </c>
      <c r="B662" s="19">
        <v>0</v>
      </c>
    </row>
    <row r="663" spans="1:2" x14ac:dyDescent="0.3">
      <c r="A663" s="19">
        <v>749589.7741544476</v>
      </c>
      <c r="B663" s="19">
        <v>0</v>
      </c>
    </row>
    <row r="664" spans="1:2" x14ac:dyDescent="0.3">
      <c r="A664" s="19">
        <v>750721.29411534697</v>
      </c>
      <c r="B664" s="19">
        <v>1</v>
      </c>
    </row>
    <row r="665" spans="1:2" x14ac:dyDescent="0.3">
      <c r="A665" s="19">
        <v>751852.81407624623</v>
      </c>
      <c r="B665" s="19">
        <v>0</v>
      </c>
    </row>
    <row r="666" spans="1:2" x14ac:dyDescent="0.3">
      <c r="A666" s="19">
        <v>752984.3340371456</v>
      </c>
      <c r="B666" s="19">
        <v>0</v>
      </c>
    </row>
    <row r="667" spans="1:2" x14ac:dyDescent="0.3">
      <c r="A667" s="19">
        <v>754115.85399804485</v>
      </c>
      <c r="B667" s="19">
        <v>0</v>
      </c>
    </row>
    <row r="668" spans="1:2" x14ac:dyDescent="0.3">
      <c r="A668" s="19">
        <v>755247.37395894423</v>
      </c>
      <c r="B668" s="19">
        <v>0</v>
      </c>
    </row>
    <row r="669" spans="1:2" x14ac:dyDescent="0.3">
      <c r="A669" s="19">
        <v>756378.8939198436</v>
      </c>
      <c r="B669" s="19">
        <v>0</v>
      </c>
    </row>
    <row r="670" spans="1:2" x14ac:dyDescent="0.3">
      <c r="A670" s="19">
        <v>757510.41388074285</v>
      </c>
      <c r="B670" s="19">
        <v>0</v>
      </c>
    </row>
    <row r="671" spans="1:2" x14ac:dyDescent="0.3">
      <c r="A671" s="19">
        <v>758641.93384164223</v>
      </c>
      <c r="B671" s="19">
        <v>0</v>
      </c>
    </row>
    <row r="672" spans="1:2" x14ac:dyDescent="0.3">
      <c r="A672" s="19">
        <v>759773.45380254148</v>
      </c>
      <c r="B672" s="19">
        <v>0</v>
      </c>
    </row>
    <row r="673" spans="1:2" x14ac:dyDescent="0.3">
      <c r="A673" s="19">
        <v>760904.97376344085</v>
      </c>
      <c r="B673" s="19">
        <v>0</v>
      </c>
    </row>
    <row r="674" spans="1:2" x14ac:dyDescent="0.3">
      <c r="A674" s="19">
        <v>762036.49372434011</v>
      </c>
      <c r="B674" s="19">
        <v>0</v>
      </c>
    </row>
    <row r="675" spans="1:2" x14ac:dyDescent="0.3">
      <c r="A675" s="19">
        <v>763168.01368523948</v>
      </c>
      <c r="B675" s="19">
        <v>0</v>
      </c>
    </row>
    <row r="676" spans="1:2" x14ac:dyDescent="0.3">
      <c r="A676" s="19">
        <v>764299.53364613873</v>
      </c>
      <c r="B676" s="19">
        <v>0</v>
      </c>
    </row>
    <row r="677" spans="1:2" x14ac:dyDescent="0.3">
      <c r="A677" s="19">
        <v>765431.05360703811</v>
      </c>
      <c r="B677" s="19">
        <v>0</v>
      </c>
    </row>
    <row r="678" spans="1:2" x14ac:dyDescent="0.3">
      <c r="A678" s="19">
        <v>766562.57356793736</v>
      </c>
      <c r="B678" s="19">
        <v>1</v>
      </c>
    </row>
    <row r="679" spans="1:2" x14ac:dyDescent="0.3">
      <c r="A679" s="19">
        <v>767694.09352883673</v>
      </c>
      <c r="B679" s="19">
        <v>0</v>
      </c>
    </row>
    <row r="680" spans="1:2" x14ac:dyDescent="0.3">
      <c r="A680" s="19">
        <v>768825.61348973599</v>
      </c>
      <c r="B680" s="19">
        <v>0</v>
      </c>
    </row>
    <row r="681" spans="1:2" x14ac:dyDescent="0.3">
      <c r="A681" s="19">
        <v>769957.13345063536</v>
      </c>
      <c r="B681" s="19">
        <v>1</v>
      </c>
    </row>
    <row r="682" spans="1:2" x14ac:dyDescent="0.3">
      <c r="A682" s="19">
        <v>771088.65341153461</v>
      </c>
      <c r="B682" s="19">
        <v>0</v>
      </c>
    </row>
    <row r="683" spans="1:2" x14ac:dyDescent="0.3">
      <c r="A683" s="19">
        <v>772220.17337243399</v>
      </c>
      <c r="B683" s="19">
        <v>0</v>
      </c>
    </row>
    <row r="684" spans="1:2" x14ac:dyDescent="0.3">
      <c r="A684" s="19">
        <v>773351.69333333324</v>
      </c>
      <c r="B684" s="19">
        <v>0</v>
      </c>
    </row>
    <row r="685" spans="1:2" x14ac:dyDescent="0.3">
      <c r="A685" s="19">
        <v>774483.21329423261</v>
      </c>
      <c r="B685" s="19">
        <v>0</v>
      </c>
    </row>
    <row r="686" spans="1:2" x14ac:dyDescent="0.3">
      <c r="A686" s="19">
        <v>775614.73325513187</v>
      </c>
      <c r="B686" s="19">
        <v>0</v>
      </c>
    </row>
    <row r="687" spans="1:2" x14ac:dyDescent="0.3">
      <c r="A687" s="19">
        <v>776746.25321603124</v>
      </c>
      <c r="B687" s="19">
        <v>0</v>
      </c>
    </row>
    <row r="688" spans="1:2" x14ac:dyDescent="0.3">
      <c r="A688" s="19">
        <v>777877.7731769305</v>
      </c>
      <c r="B688" s="19">
        <v>0</v>
      </c>
    </row>
    <row r="689" spans="1:2" x14ac:dyDescent="0.3">
      <c r="A689" s="19">
        <v>779009.29313782987</v>
      </c>
      <c r="B689" s="19">
        <v>0</v>
      </c>
    </row>
    <row r="690" spans="1:2" x14ac:dyDescent="0.3">
      <c r="A690" s="19">
        <v>780140.81309872912</v>
      </c>
      <c r="B690" s="19">
        <v>0</v>
      </c>
    </row>
    <row r="691" spans="1:2" x14ac:dyDescent="0.3">
      <c r="A691" s="19">
        <v>781272.33305962849</v>
      </c>
      <c r="B691" s="19">
        <v>0</v>
      </c>
    </row>
    <row r="692" spans="1:2" x14ac:dyDescent="0.3">
      <c r="A692" s="19">
        <v>782403.85302052775</v>
      </c>
      <c r="B692" s="19">
        <v>0</v>
      </c>
    </row>
    <row r="693" spans="1:2" x14ac:dyDescent="0.3">
      <c r="A693" s="19">
        <v>783535.37298142712</v>
      </c>
      <c r="B693" s="19">
        <v>0</v>
      </c>
    </row>
    <row r="694" spans="1:2" x14ac:dyDescent="0.3">
      <c r="A694" s="19">
        <v>784666.89294232649</v>
      </c>
      <c r="B694" s="19">
        <v>0</v>
      </c>
    </row>
    <row r="695" spans="1:2" x14ac:dyDescent="0.3">
      <c r="A695" s="19">
        <v>785798.41290322575</v>
      </c>
      <c r="B695" s="19">
        <v>0</v>
      </c>
    </row>
    <row r="696" spans="1:2" x14ac:dyDescent="0.3">
      <c r="A696" s="19">
        <v>786929.93286412512</v>
      </c>
      <c r="B696" s="19">
        <v>0</v>
      </c>
    </row>
    <row r="697" spans="1:2" x14ac:dyDescent="0.3">
      <c r="A697" s="19">
        <v>788061.45282502437</v>
      </c>
      <c r="B697" s="19">
        <v>0</v>
      </c>
    </row>
    <row r="698" spans="1:2" x14ac:dyDescent="0.3">
      <c r="A698" s="19">
        <v>789192.97278592375</v>
      </c>
      <c r="B698" s="19">
        <v>0</v>
      </c>
    </row>
    <row r="699" spans="1:2" x14ac:dyDescent="0.3">
      <c r="A699" s="19">
        <v>790324.492746823</v>
      </c>
      <c r="B699" s="19">
        <v>0</v>
      </c>
    </row>
    <row r="700" spans="1:2" x14ac:dyDescent="0.3">
      <c r="A700" s="19">
        <v>791456.01270772237</v>
      </c>
      <c r="B700" s="19">
        <v>0</v>
      </c>
    </row>
    <row r="701" spans="1:2" x14ac:dyDescent="0.3">
      <c r="A701" s="19">
        <v>792587.53266862163</v>
      </c>
      <c r="B701" s="19">
        <v>0</v>
      </c>
    </row>
    <row r="702" spans="1:2" x14ac:dyDescent="0.3">
      <c r="A702" s="19">
        <v>793719.052629521</v>
      </c>
      <c r="B702" s="19">
        <v>0</v>
      </c>
    </row>
    <row r="703" spans="1:2" x14ac:dyDescent="0.3">
      <c r="A703" s="19">
        <v>794850.57259042026</v>
      </c>
      <c r="B703" s="19">
        <v>0</v>
      </c>
    </row>
    <row r="704" spans="1:2" x14ac:dyDescent="0.3">
      <c r="A704" s="19">
        <v>795982.09255131963</v>
      </c>
      <c r="B704" s="19">
        <v>0</v>
      </c>
    </row>
    <row r="705" spans="1:2" x14ac:dyDescent="0.3">
      <c r="A705" s="19">
        <v>797113.61251221888</v>
      </c>
      <c r="B705" s="19">
        <v>0</v>
      </c>
    </row>
    <row r="706" spans="1:2" x14ac:dyDescent="0.3">
      <c r="A706" s="19">
        <v>798245.13247311825</v>
      </c>
      <c r="B706" s="19">
        <v>0</v>
      </c>
    </row>
    <row r="707" spans="1:2" x14ac:dyDescent="0.3">
      <c r="A707" s="19">
        <v>799376.65243401751</v>
      </c>
      <c r="B707" s="19">
        <v>0</v>
      </c>
    </row>
    <row r="708" spans="1:2" x14ac:dyDescent="0.3">
      <c r="A708" s="19">
        <v>800508.17239491688</v>
      </c>
      <c r="B708" s="19">
        <v>0</v>
      </c>
    </row>
    <row r="709" spans="1:2" x14ac:dyDescent="0.3">
      <c r="A709" s="19">
        <v>801639.69235581614</v>
      </c>
      <c r="B709" s="19">
        <v>2</v>
      </c>
    </row>
    <row r="710" spans="1:2" x14ac:dyDescent="0.3">
      <c r="A710" s="19">
        <v>802771.21231671551</v>
      </c>
      <c r="B710" s="19">
        <v>0</v>
      </c>
    </row>
    <row r="711" spans="1:2" x14ac:dyDescent="0.3">
      <c r="A711" s="19">
        <v>803902.73227761476</v>
      </c>
      <c r="B711" s="19">
        <v>0</v>
      </c>
    </row>
    <row r="712" spans="1:2" x14ac:dyDescent="0.3">
      <c r="A712" s="19">
        <v>805034.25223851413</v>
      </c>
      <c r="B712" s="19">
        <v>0</v>
      </c>
    </row>
    <row r="713" spans="1:2" x14ac:dyDescent="0.3">
      <c r="A713" s="19">
        <v>806165.77219941339</v>
      </c>
      <c r="B713" s="19">
        <v>0</v>
      </c>
    </row>
    <row r="714" spans="1:2" x14ac:dyDescent="0.3">
      <c r="A714" s="19">
        <v>807297.29216031276</v>
      </c>
      <c r="B714" s="19">
        <v>0</v>
      </c>
    </row>
    <row r="715" spans="1:2" x14ac:dyDescent="0.3">
      <c r="A715" s="19">
        <v>808428.81212121202</v>
      </c>
      <c r="B715" s="19">
        <v>1</v>
      </c>
    </row>
    <row r="716" spans="1:2" x14ac:dyDescent="0.3">
      <c r="A716" s="19">
        <v>809560.33208211139</v>
      </c>
      <c r="B716" s="19">
        <v>0</v>
      </c>
    </row>
    <row r="717" spans="1:2" x14ac:dyDescent="0.3">
      <c r="A717" s="19">
        <v>810691.85204301064</v>
      </c>
      <c r="B717" s="19">
        <v>0</v>
      </c>
    </row>
    <row r="718" spans="1:2" x14ac:dyDescent="0.3">
      <c r="A718" s="19">
        <v>811823.37200391002</v>
      </c>
      <c r="B718" s="19">
        <v>0</v>
      </c>
    </row>
    <row r="719" spans="1:2" x14ac:dyDescent="0.3">
      <c r="A719" s="19">
        <v>812954.89196480939</v>
      </c>
      <c r="B719" s="19">
        <v>0</v>
      </c>
    </row>
    <row r="720" spans="1:2" x14ac:dyDescent="0.3">
      <c r="A720" s="19">
        <v>814086.41192570864</v>
      </c>
      <c r="B720" s="19">
        <v>0</v>
      </c>
    </row>
    <row r="721" spans="1:2" x14ac:dyDescent="0.3">
      <c r="A721" s="19">
        <v>815217.93188660801</v>
      </c>
      <c r="B721" s="19">
        <v>0</v>
      </c>
    </row>
    <row r="722" spans="1:2" x14ac:dyDescent="0.3">
      <c r="A722" s="19">
        <v>816349.45184750727</v>
      </c>
      <c r="B722" s="19">
        <v>0</v>
      </c>
    </row>
    <row r="723" spans="1:2" x14ac:dyDescent="0.3">
      <c r="A723" s="19">
        <v>817480.97180840664</v>
      </c>
      <c r="B723" s="19">
        <v>0</v>
      </c>
    </row>
    <row r="724" spans="1:2" x14ac:dyDescent="0.3">
      <c r="A724" s="19">
        <v>818612.4917693059</v>
      </c>
      <c r="B724" s="19">
        <v>0</v>
      </c>
    </row>
    <row r="725" spans="1:2" x14ac:dyDescent="0.3">
      <c r="A725" s="19">
        <v>819744.01173020527</v>
      </c>
      <c r="B725" s="19">
        <v>0</v>
      </c>
    </row>
    <row r="726" spans="1:2" x14ac:dyDescent="0.3">
      <c r="A726" s="19">
        <v>820875.53169110452</v>
      </c>
      <c r="B726" s="19">
        <v>0</v>
      </c>
    </row>
    <row r="727" spans="1:2" x14ac:dyDescent="0.3">
      <c r="A727" s="19">
        <v>822007.05165200389</v>
      </c>
      <c r="B727" s="19">
        <v>0</v>
      </c>
    </row>
    <row r="728" spans="1:2" x14ac:dyDescent="0.3">
      <c r="A728" s="19">
        <v>823138.57161290315</v>
      </c>
      <c r="B728" s="19">
        <v>0</v>
      </c>
    </row>
    <row r="729" spans="1:2" x14ac:dyDescent="0.3">
      <c r="A729" s="19">
        <v>824270.09157380252</v>
      </c>
      <c r="B729" s="19">
        <v>0</v>
      </c>
    </row>
    <row r="730" spans="1:2" x14ac:dyDescent="0.3">
      <c r="A730" s="19">
        <v>825401.61153470178</v>
      </c>
      <c r="B730" s="19">
        <v>0</v>
      </c>
    </row>
    <row r="731" spans="1:2" x14ac:dyDescent="0.3">
      <c r="A731" s="19">
        <v>826533.13149560115</v>
      </c>
      <c r="B731" s="19">
        <v>0</v>
      </c>
    </row>
    <row r="732" spans="1:2" x14ac:dyDescent="0.3">
      <c r="A732" s="19">
        <v>827664.6514565004</v>
      </c>
      <c r="B732" s="19">
        <v>1</v>
      </c>
    </row>
    <row r="733" spans="1:2" x14ac:dyDescent="0.3">
      <c r="A733" s="19">
        <v>828796.17141739978</v>
      </c>
      <c r="B733" s="19">
        <v>0</v>
      </c>
    </row>
    <row r="734" spans="1:2" x14ac:dyDescent="0.3">
      <c r="A734" s="19">
        <v>829927.69137829903</v>
      </c>
      <c r="B734" s="19">
        <v>0</v>
      </c>
    </row>
    <row r="735" spans="1:2" x14ac:dyDescent="0.3">
      <c r="A735" s="19">
        <v>831059.2113391984</v>
      </c>
      <c r="B735" s="19">
        <v>0</v>
      </c>
    </row>
    <row r="736" spans="1:2" x14ac:dyDescent="0.3">
      <c r="A736" s="19">
        <v>832190.73130009766</v>
      </c>
      <c r="B736" s="19">
        <v>0</v>
      </c>
    </row>
    <row r="737" spans="1:2" x14ac:dyDescent="0.3">
      <c r="A737" s="19">
        <v>833322.25126099703</v>
      </c>
      <c r="B737" s="19">
        <v>0</v>
      </c>
    </row>
    <row r="738" spans="1:2" x14ac:dyDescent="0.3">
      <c r="A738" s="19">
        <v>834453.77122189628</v>
      </c>
      <c r="B738" s="19">
        <v>0</v>
      </c>
    </row>
    <row r="739" spans="1:2" x14ac:dyDescent="0.3">
      <c r="A739" s="19">
        <v>835585.29118279566</v>
      </c>
      <c r="B739" s="19">
        <v>0</v>
      </c>
    </row>
    <row r="740" spans="1:2" x14ac:dyDescent="0.3">
      <c r="A740" s="19">
        <v>836716.81114369491</v>
      </c>
      <c r="B740" s="19">
        <v>0</v>
      </c>
    </row>
    <row r="741" spans="1:2" x14ac:dyDescent="0.3">
      <c r="A741" s="19">
        <v>837848.33110459428</v>
      </c>
      <c r="B741" s="19">
        <v>0</v>
      </c>
    </row>
    <row r="742" spans="1:2" x14ac:dyDescent="0.3">
      <c r="A742" s="19">
        <v>838979.85106549354</v>
      </c>
      <c r="B742" s="19">
        <v>0</v>
      </c>
    </row>
    <row r="743" spans="1:2" x14ac:dyDescent="0.3">
      <c r="A743" s="19">
        <v>840111.37102639291</v>
      </c>
      <c r="B743" s="19">
        <v>0</v>
      </c>
    </row>
    <row r="744" spans="1:2" x14ac:dyDescent="0.3">
      <c r="A744" s="19">
        <v>841242.89098729216</v>
      </c>
      <c r="B744" s="19">
        <v>1</v>
      </c>
    </row>
    <row r="745" spans="1:2" x14ac:dyDescent="0.3">
      <c r="A745" s="19">
        <v>842374.41094819154</v>
      </c>
      <c r="B745" s="19">
        <v>0</v>
      </c>
    </row>
    <row r="746" spans="1:2" x14ac:dyDescent="0.3">
      <c r="A746" s="19">
        <v>843505.93090909091</v>
      </c>
      <c r="B746" s="19">
        <v>0</v>
      </c>
    </row>
    <row r="747" spans="1:2" x14ac:dyDescent="0.3">
      <c r="A747" s="19">
        <v>844637.45086999016</v>
      </c>
      <c r="B747" s="19">
        <v>0</v>
      </c>
    </row>
    <row r="748" spans="1:2" x14ac:dyDescent="0.3">
      <c r="A748" s="19">
        <v>845768.97083088954</v>
      </c>
      <c r="B748" s="19">
        <v>0</v>
      </c>
    </row>
    <row r="749" spans="1:2" x14ac:dyDescent="0.3">
      <c r="A749" s="19">
        <v>846900.49079178879</v>
      </c>
      <c r="B749" s="19">
        <v>0</v>
      </c>
    </row>
    <row r="750" spans="1:2" x14ac:dyDescent="0.3">
      <c r="A750" s="19">
        <v>848032.01075268816</v>
      </c>
      <c r="B750" s="19">
        <v>0</v>
      </c>
    </row>
    <row r="751" spans="1:2" x14ac:dyDescent="0.3">
      <c r="A751" s="19">
        <v>849163.53071358742</v>
      </c>
      <c r="B751" s="19">
        <v>1</v>
      </c>
    </row>
    <row r="752" spans="1:2" x14ac:dyDescent="0.3">
      <c r="A752" s="19">
        <v>850295.05067448679</v>
      </c>
      <c r="B752" s="19">
        <v>0</v>
      </c>
    </row>
    <row r="753" spans="1:2" x14ac:dyDescent="0.3">
      <c r="A753" s="19">
        <v>851426.57063538604</v>
      </c>
      <c r="B753" s="19">
        <v>0</v>
      </c>
    </row>
    <row r="754" spans="1:2" x14ac:dyDescent="0.3">
      <c r="A754" s="19">
        <v>852558.09059628542</v>
      </c>
      <c r="B754" s="19">
        <v>0</v>
      </c>
    </row>
    <row r="755" spans="1:2" x14ac:dyDescent="0.3">
      <c r="A755" s="19">
        <v>853689.61055718467</v>
      </c>
      <c r="B755" s="19">
        <v>0</v>
      </c>
    </row>
    <row r="756" spans="1:2" x14ac:dyDescent="0.3">
      <c r="A756" s="19">
        <v>854821.13051808404</v>
      </c>
      <c r="B756" s="19">
        <v>0</v>
      </c>
    </row>
    <row r="757" spans="1:2" x14ac:dyDescent="0.3">
      <c r="A757" s="19">
        <v>855952.6504789833</v>
      </c>
      <c r="B757" s="19">
        <v>0</v>
      </c>
    </row>
    <row r="758" spans="1:2" x14ac:dyDescent="0.3">
      <c r="A758" s="19">
        <v>857084.17043988267</v>
      </c>
      <c r="B758" s="19">
        <v>0</v>
      </c>
    </row>
    <row r="759" spans="1:2" x14ac:dyDescent="0.3">
      <c r="A759" s="19">
        <v>858215.69040078192</v>
      </c>
      <c r="B759" s="19">
        <v>0</v>
      </c>
    </row>
    <row r="760" spans="1:2" x14ac:dyDescent="0.3">
      <c r="A760" s="19">
        <v>859347.2103616813</v>
      </c>
      <c r="B760" s="19">
        <v>0</v>
      </c>
    </row>
    <row r="761" spans="1:2" x14ac:dyDescent="0.3">
      <c r="A761" s="19">
        <v>860478.73032258055</v>
      </c>
      <c r="B761" s="19">
        <v>0</v>
      </c>
    </row>
    <row r="762" spans="1:2" x14ac:dyDescent="0.3">
      <c r="A762" s="19">
        <v>861610.25028347992</v>
      </c>
      <c r="B762" s="19">
        <v>0</v>
      </c>
    </row>
    <row r="763" spans="1:2" x14ac:dyDescent="0.3">
      <c r="A763" s="19">
        <v>862741.77024437918</v>
      </c>
      <c r="B763" s="19">
        <v>0</v>
      </c>
    </row>
    <row r="764" spans="1:2" x14ac:dyDescent="0.3">
      <c r="A764" s="19">
        <v>863873.29020527855</v>
      </c>
      <c r="B764" s="19">
        <v>1</v>
      </c>
    </row>
    <row r="765" spans="1:2" x14ac:dyDescent="0.3">
      <c r="A765" s="19">
        <v>865004.81016617781</v>
      </c>
      <c r="B765" s="19">
        <v>0</v>
      </c>
    </row>
    <row r="766" spans="1:2" x14ac:dyDescent="0.3">
      <c r="A766" s="19">
        <v>866136.33012707718</v>
      </c>
      <c r="B766" s="19">
        <v>0</v>
      </c>
    </row>
    <row r="767" spans="1:2" x14ac:dyDescent="0.3">
      <c r="A767" s="19">
        <v>867267.85008797643</v>
      </c>
      <c r="B767" s="19">
        <v>0</v>
      </c>
    </row>
    <row r="768" spans="1:2" x14ac:dyDescent="0.3">
      <c r="A768" s="19">
        <v>868399.3700488758</v>
      </c>
      <c r="B768" s="19">
        <v>0</v>
      </c>
    </row>
    <row r="769" spans="1:2" x14ac:dyDescent="0.3">
      <c r="A769" s="19">
        <v>869530.89000977506</v>
      </c>
      <c r="B769" s="19">
        <v>0</v>
      </c>
    </row>
    <row r="770" spans="1:2" x14ac:dyDescent="0.3">
      <c r="A770" s="19">
        <v>870662.40997067443</v>
      </c>
      <c r="B770" s="19">
        <v>0</v>
      </c>
    </row>
    <row r="771" spans="1:2" x14ac:dyDescent="0.3">
      <c r="A771" s="19">
        <v>871793.9299315738</v>
      </c>
      <c r="B771" s="19">
        <v>0</v>
      </c>
    </row>
    <row r="772" spans="1:2" x14ac:dyDescent="0.3">
      <c r="A772" s="19">
        <v>872925.44989247306</v>
      </c>
      <c r="B772" s="19">
        <v>0</v>
      </c>
    </row>
    <row r="773" spans="1:2" x14ac:dyDescent="0.3">
      <c r="A773" s="19">
        <v>874056.96985337243</v>
      </c>
      <c r="B773" s="19">
        <v>0</v>
      </c>
    </row>
    <row r="774" spans="1:2" x14ac:dyDescent="0.3">
      <c r="A774" s="19">
        <v>875188.48981427168</v>
      </c>
      <c r="B774" s="19">
        <v>0</v>
      </c>
    </row>
    <row r="775" spans="1:2" x14ac:dyDescent="0.3">
      <c r="A775" s="19">
        <v>876320.00977517106</v>
      </c>
      <c r="B775" s="19">
        <v>0</v>
      </c>
    </row>
    <row r="776" spans="1:2" x14ac:dyDescent="0.3">
      <c r="A776" s="19">
        <v>877451.52973607031</v>
      </c>
      <c r="B776" s="19">
        <v>0</v>
      </c>
    </row>
    <row r="777" spans="1:2" x14ac:dyDescent="0.3">
      <c r="A777" s="19">
        <v>878583.04969696968</v>
      </c>
      <c r="B777" s="19">
        <v>0</v>
      </c>
    </row>
    <row r="778" spans="1:2" x14ac:dyDescent="0.3">
      <c r="A778" s="19">
        <v>879714.56965786894</v>
      </c>
      <c r="B778" s="19">
        <v>0</v>
      </c>
    </row>
    <row r="779" spans="1:2" x14ac:dyDescent="0.3">
      <c r="A779" s="19">
        <v>880846.08961876831</v>
      </c>
      <c r="B779" s="19">
        <v>0</v>
      </c>
    </row>
    <row r="780" spans="1:2" x14ac:dyDescent="0.3">
      <c r="A780" s="19">
        <v>881977.60957966757</v>
      </c>
      <c r="B780" s="19">
        <v>0</v>
      </c>
    </row>
    <row r="781" spans="1:2" x14ac:dyDescent="0.3">
      <c r="A781" s="19">
        <v>883109.12954056694</v>
      </c>
      <c r="B781" s="19">
        <v>0</v>
      </c>
    </row>
    <row r="782" spans="1:2" x14ac:dyDescent="0.3">
      <c r="A782" s="19">
        <v>884240.64950146619</v>
      </c>
      <c r="B782" s="19">
        <v>1</v>
      </c>
    </row>
    <row r="783" spans="1:2" x14ac:dyDescent="0.3">
      <c r="A783" s="19">
        <v>885372.16946236556</v>
      </c>
      <c r="B783" s="19">
        <v>0</v>
      </c>
    </row>
    <row r="784" spans="1:2" x14ac:dyDescent="0.3">
      <c r="A784" s="19">
        <v>886503.68942326482</v>
      </c>
      <c r="B784" s="19">
        <v>0</v>
      </c>
    </row>
    <row r="785" spans="1:2" x14ac:dyDescent="0.3">
      <c r="A785" s="19">
        <v>887635.20938416419</v>
      </c>
      <c r="B785" s="19">
        <v>0</v>
      </c>
    </row>
    <row r="786" spans="1:2" x14ac:dyDescent="0.3">
      <c r="A786" s="19">
        <v>888766.72934506345</v>
      </c>
      <c r="B786" s="19">
        <v>0</v>
      </c>
    </row>
    <row r="787" spans="1:2" x14ac:dyDescent="0.3">
      <c r="A787" s="19">
        <v>889898.24930596282</v>
      </c>
      <c r="B787" s="19">
        <v>0</v>
      </c>
    </row>
    <row r="788" spans="1:2" x14ac:dyDescent="0.3">
      <c r="A788" s="19">
        <v>891029.76926686207</v>
      </c>
      <c r="B788" s="19">
        <v>0</v>
      </c>
    </row>
    <row r="789" spans="1:2" x14ac:dyDescent="0.3">
      <c r="A789" s="19">
        <v>892161.28922776144</v>
      </c>
      <c r="B789" s="19">
        <v>0</v>
      </c>
    </row>
    <row r="790" spans="1:2" x14ac:dyDescent="0.3">
      <c r="A790" s="19">
        <v>893292.8091886607</v>
      </c>
      <c r="B790" s="19">
        <v>0</v>
      </c>
    </row>
    <row r="791" spans="1:2" x14ac:dyDescent="0.3">
      <c r="A791" s="19">
        <v>894424.32914956007</v>
      </c>
      <c r="B791" s="19">
        <v>0</v>
      </c>
    </row>
    <row r="792" spans="1:2" x14ac:dyDescent="0.3">
      <c r="A792" s="19">
        <v>895555.84911045933</v>
      </c>
      <c r="B792" s="19">
        <v>0</v>
      </c>
    </row>
    <row r="793" spans="1:2" x14ac:dyDescent="0.3">
      <c r="A793" s="19">
        <v>896687.3690713587</v>
      </c>
      <c r="B793" s="19">
        <v>0</v>
      </c>
    </row>
    <row r="794" spans="1:2" x14ac:dyDescent="0.3">
      <c r="A794" s="19">
        <v>897818.88903225795</v>
      </c>
      <c r="B794" s="19">
        <v>0</v>
      </c>
    </row>
    <row r="795" spans="1:2" x14ac:dyDescent="0.3">
      <c r="A795" s="19">
        <v>898950.40899315733</v>
      </c>
      <c r="B795" s="19">
        <v>0</v>
      </c>
    </row>
    <row r="796" spans="1:2" x14ac:dyDescent="0.3">
      <c r="A796" s="19">
        <v>900081.9289540567</v>
      </c>
      <c r="B796" s="19">
        <v>0</v>
      </c>
    </row>
    <row r="797" spans="1:2" x14ac:dyDescent="0.3">
      <c r="A797" s="19">
        <v>901213.44891495595</v>
      </c>
      <c r="B797" s="19">
        <v>0</v>
      </c>
    </row>
    <row r="798" spans="1:2" x14ac:dyDescent="0.3">
      <c r="A798" s="19">
        <v>902344.96887585532</v>
      </c>
      <c r="B798" s="19">
        <v>0</v>
      </c>
    </row>
    <row r="799" spans="1:2" x14ac:dyDescent="0.3">
      <c r="A799" s="19">
        <v>903476.48883675458</v>
      </c>
      <c r="B799" s="19">
        <v>0</v>
      </c>
    </row>
    <row r="800" spans="1:2" x14ac:dyDescent="0.3">
      <c r="A800" s="19">
        <v>904608.00879765395</v>
      </c>
      <c r="B800" s="19">
        <v>0</v>
      </c>
    </row>
    <row r="801" spans="1:2" x14ac:dyDescent="0.3">
      <c r="A801" s="19">
        <v>905739.52875855321</v>
      </c>
      <c r="B801" s="19">
        <v>0</v>
      </c>
    </row>
    <row r="802" spans="1:2" x14ac:dyDescent="0.3">
      <c r="A802" s="19">
        <v>906871.04871945258</v>
      </c>
      <c r="B802" s="19">
        <v>0</v>
      </c>
    </row>
    <row r="803" spans="1:2" x14ac:dyDescent="0.3">
      <c r="A803" s="19">
        <v>908002.56868035183</v>
      </c>
      <c r="B803" s="19">
        <v>0</v>
      </c>
    </row>
    <row r="804" spans="1:2" x14ac:dyDescent="0.3">
      <c r="A804" s="19">
        <v>909134.0886412512</v>
      </c>
      <c r="B804" s="19">
        <v>0</v>
      </c>
    </row>
    <row r="805" spans="1:2" x14ac:dyDescent="0.3">
      <c r="A805" s="19">
        <v>910265.60860215046</v>
      </c>
      <c r="B805" s="19">
        <v>0</v>
      </c>
    </row>
    <row r="806" spans="1:2" x14ac:dyDescent="0.3">
      <c r="A806" s="19">
        <v>911397.12856304983</v>
      </c>
      <c r="B806" s="19">
        <v>0</v>
      </c>
    </row>
    <row r="807" spans="1:2" x14ac:dyDescent="0.3">
      <c r="A807" s="19">
        <v>912528.64852394909</v>
      </c>
      <c r="B807" s="19">
        <v>0</v>
      </c>
    </row>
    <row r="808" spans="1:2" x14ac:dyDescent="0.3">
      <c r="A808" s="19">
        <v>913660.16848484846</v>
      </c>
      <c r="B808" s="19">
        <v>0</v>
      </c>
    </row>
    <row r="809" spans="1:2" x14ac:dyDescent="0.3">
      <c r="A809" s="19">
        <v>914791.68844574771</v>
      </c>
      <c r="B809" s="19">
        <v>0</v>
      </c>
    </row>
    <row r="810" spans="1:2" x14ac:dyDescent="0.3">
      <c r="A810" s="19">
        <v>915923.20840664709</v>
      </c>
      <c r="B810" s="19">
        <v>0</v>
      </c>
    </row>
    <row r="811" spans="1:2" x14ac:dyDescent="0.3">
      <c r="A811" s="19">
        <v>917054.72836754634</v>
      </c>
      <c r="B811" s="19">
        <v>0</v>
      </c>
    </row>
    <row r="812" spans="1:2" x14ac:dyDescent="0.3">
      <c r="A812" s="19">
        <v>918186.24832844571</v>
      </c>
      <c r="B812" s="19">
        <v>0</v>
      </c>
    </row>
    <row r="813" spans="1:2" x14ac:dyDescent="0.3">
      <c r="A813" s="19">
        <v>919317.76828934497</v>
      </c>
      <c r="B813" s="19">
        <v>0</v>
      </c>
    </row>
    <row r="814" spans="1:2" x14ac:dyDescent="0.3">
      <c r="A814" s="19">
        <v>920449.28825024434</v>
      </c>
      <c r="B814" s="19">
        <v>0</v>
      </c>
    </row>
    <row r="815" spans="1:2" x14ac:dyDescent="0.3">
      <c r="A815" s="19">
        <v>921580.80821114359</v>
      </c>
      <c r="B815" s="19">
        <v>0</v>
      </c>
    </row>
    <row r="816" spans="1:2" x14ac:dyDescent="0.3">
      <c r="A816" s="19">
        <v>922712.32817204297</v>
      </c>
      <c r="B816" s="19">
        <v>1</v>
      </c>
    </row>
    <row r="817" spans="1:2" x14ac:dyDescent="0.3">
      <c r="A817" s="19">
        <v>923843.84813294222</v>
      </c>
      <c r="B817" s="19">
        <v>0</v>
      </c>
    </row>
    <row r="818" spans="1:2" x14ac:dyDescent="0.3">
      <c r="A818" s="19">
        <v>924975.36809384159</v>
      </c>
      <c r="B818" s="19">
        <v>0</v>
      </c>
    </row>
    <row r="819" spans="1:2" x14ac:dyDescent="0.3">
      <c r="A819" s="19">
        <v>926106.88805474085</v>
      </c>
      <c r="B819" s="19">
        <v>0</v>
      </c>
    </row>
    <row r="820" spans="1:2" x14ac:dyDescent="0.3">
      <c r="A820" s="19">
        <v>927238.40801564022</v>
      </c>
      <c r="B820" s="19">
        <v>0</v>
      </c>
    </row>
    <row r="821" spans="1:2" x14ac:dyDescent="0.3">
      <c r="A821" s="19">
        <v>928369.92797653947</v>
      </c>
      <c r="B821" s="19">
        <v>0</v>
      </c>
    </row>
    <row r="822" spans="1:2" x14ac:dyDescent="0.3">
      <c r="A822" s="19">
        <v>929501.44793743885</v>
      </c>
      <c r="B822" s="19">
        <v>0</v>
      </c>
    </row>
    <row r="823" spans="1:2" x14ac:dyDescent="0.3">
      <c r="A823" s="19">
        <v>930632.96789833822</v>
      </c>
      <c r="B823" s="19">
        <v>0</v>
      </c>
    </row>
    <row r="824" spans="1:2" x14ac:dyDescent="0.3">
      <c r="A824" s="19">
        <v>931764.48785923747</v>
      </c>
      <c r="B824" s="19">
        <v>0</v>
      </c>
    </row>
    <row r="825" spans="1:2" x14ac:dyDescent="0.3">
      <c r="A825" s="19">
        <v>932896.00782013685</v>
      </c>
      <c r="B825" s="19">
        <v>0</v>
      </c>
    </row>
    <row r="826" spans="1:2" x14ac:dyDescent="0.3">
      <c r="A826" s="19">
        <v>934027.5277810361</v>
      </c>
      <c r="B826" s="19">
        <v>0</v>
      </c>
    </row>
    <row r="827" spans="1:2" x14ac:dyDescent="0.3">
      <c r="A827" s="19">
        <v>935159.04774193547</v>
      </c>
      <c r="B827" s="19">
        <v>0</v>
      </c>
    </row>
    <row r="828" spans="1:2" x14ac:dyDescent="0.3">
      <c r="A828" s="19">
        <v>936290.56770283473</v>
      </c>
      <c r="B828" s="19">
        <v>1</v>
      </c>
    </row>
    <row r="829" spans="1:2" x14ac:dyDescent="0.3">
      <c r="A829" s="19">
        <v>937422.0876637341</v>
      </c>
      <c r="B829" s="19">
        <v>0</v>
      </c>
    </row>
    <row r="830" spans="1:2" x14ac:dyDescent="0.3">
      <c r="A830" s="19">
        <v>938553.60762463335</v>
      </c>
      <c r="B830" s="19">
        <v>0</v>
      </c>
    </row>
    <row r="831" spans="1:2" x14ac:dyDescent="0.3">
      <c r="A831" s="19">
        <v>939685.12758553273</v>
      </c>
      <c r="B831" s="19">
        <v>0</v>
      </c>
    </row>
    <row r="832" spans="1:2" x14ac:dyDescent="0.3">
      <c r="A832" s="19">
        <v>940816.64754643198</v>
      </c>
      <c r="B832" s="19">
        <v>0</v>
      </c>
    </row>
    <row r="833" spans="1:2" x14ac:dyDescent="0.3">
      <c r="A833" s="19">
        <v>941948.16750733135</v>
      </c>
      <c r="B833" s="19">
        <v>0</v>
      </c>
    </row>
    <row r="834" spans="1:2" x14ac:dyDescent="0.3">
      <c r="A834" s="19">
        <v>943079.68746823061</v>
      </c>
      <c r="B834" s="19">
        <v>0</v>
      </c>
    </row>
    <row r="835" spans="1:2" x14ac:dyDescent="0.3">
      <c r="A835" s="19">
        <v>944211.20742912998</v>
      </c>
      <c r="B835" s="19">
        <v>0</v>
      </c>
    </row>
    <row r="836" spans="1:2" x14ac:dyDescent="0.3">
      <c r="A836" s="19">
        <v>945342.72739002923</v>
      </c>
      <c r="B836" s="19">
        <v>0</v>
      </c>
    </row>
    <row r="837" spans="1:2" x14ac:dyDescent="0.3">
      <c r="A837" s="19">
        <v>946474.24735092861</v>
      </c>
      <c r="B837" s="19">
        <v>0</v>
      </c>
    </row>
    <row r="838" spans="1:2" x14ac:dyDescent="0.3">
      <c r="A838" s="19">
        <v>947605.76731182786</v>
      </c>
      <c r="B838" s="19">
        <v>0</v>
      </c>
    </row>
    <row r="839" spans="1:2" x14ac:dyDescent="0.3">
      <c r="A839" s="19">
        <v>948737.28727272723</v>
      </c>
      <c r="B839" s="19">
        <v>0</v>
      </c>
    </row>
    <row r="840" spans="1:2" x14ac:dyDescent="0.3">
      <c r="A840" s="19">
        <v>949868.80723362649</v>
      </c>
      <c r="B840" s="19">
        <v>0</v>
      </c>
    </row>
    <row r="841" spans="1:2" x14ac:dyDescent="0.3">
      <c r="A841" s="19">
        <v>951000.32719452586</v>
      </c>
      <c r="B841" s="19">
        <v>0</v>
      </c>
    </row>
    <row r="842" spans="1:2" x14ac:dyDescent="0.3">
      <c r="A842" s="19">
        <v>952131.84715542512</v>
      </c>
      <c r="B842" s="19">
        <v>0</v>
      </c>
    </row>
    <row r="843" spans="1:2" x14ac:dyDescent="0.3">
      <c r="A843" s="19">
        <v>953263.36711632449</v>
      </c>
      <c r="B843" s="19">
        <v>0</v>
      </c>
    </row>
    <row r="844" spans="1:2" x14ac:dyDescent="0.3">
      <c r="A844" s="19">
        <v>954394.88707722374</v>
      </c>
      <c r="B844" s="19">
        <v>0</v>
      </c>
    </row>
    <row r="845" spans="1:2" x14ac:dyDescent="0.3">
      <c r="A845" s="19">
        <v>955526.40703812311</v>
      </c>
      <c r="B845" s="19">
        <v>0</v>
      </c>
    </row>
    <row r="846" spans="1:2" x14ac:dyDescent="0.3">
      <c r="A846" s="19">
        <v>956657.92699902237</v>
      </c>
      <c r="B846" s="19">
        <v>0</v>
      </c>
    </row>
    <row r="847" spans="1:2" x14ac:dyDescent="0.3">
      <c r="A847" s="19">
        <v>957789.44695992174</v>
      </c>
      <c r="B847" s="19">
        <v>0</v>
      </c>
    </row>
    <row r="848" spans="1:2" x14ac:dyDescent="0.3">
      <c r="A848" s="19">
        <v>958920.96692082111</v>
      </c>
      <c r="B848" s="19">
        <v>0</v>
      </c>
    </row>
    <row r="849" spans="1:2" x14ac:dyDescent="0.3">
      <c r="A849" s="19">
        <v>960052.48688172037</v>
      </c>
      <c r="B849" s="19">
        <v>0</v>
      </c>
    </row>
    <row r="850" spans="1:2" x14ac:dyDescent="0.3">
      <c r="A850" s="19">
        <v>961184.00684261974</v>
      </c>
      <c r="B850" s="19">
        <v>0</v>
      </c>
    </row>
    <row r="851" spans="1:2" x14ac:dyDescent="0.3">
      <c r="A851" s="19">
        <v>962315.52680351899</v>
      </c>
      <c r="B851" s="19">
        <v>0</v>
      </c>
    </row>
    <row r="852" spans="1:2" x14ac:dyDescent="0.3">
      <c r="A852" s="19">
        <v>963447.04676441837</v>
      </c>
      <c r="B852" s="19">
        <v>1</v>
      </c>
    </row>
    <row r="853" spans="1:2" x14ac:dyDescent="0.3">
      <c r="A853" s="19">
        <v>964578.56672531762</v>
      </c>
      <c r="B853" s="19">
        <v>0</v>
      </c>
    </row>
    <row r="854" spans="1:2" x14ac:dyDescent="0.3">
      <c r="A854" s="19">
        <v>965710.08668621699</v>
      </c>
      <c r="B854" s="19">
        <v>0</v>
      </c>
    </row>
    <row r="855" spans="1:2" x14ac:dyDescent="0.3">
      <c r="A855" s="19">
        <v>966841.60664711625</v>
      </c>
      <c r="B855" s="19">
        <v>0</v>
      </c>
    </row>
    <row r="856" spans="1:2" x14ac:dyDescent="0.3">
      <c r="A856" s="19">
        <v>967973.12660801562</v>
      </c>
      <c r="B856" s="19">
        <v>0</v>
      </c>
    </row>
    <row r="857" spans="1:2" x14ac:dyDescent="0.3">
      <c r="A857" s="19">
        <v>969104.64656891488</v>
      </c>
      <c r="B857" s="19">
        <v>0</v>
      </c>
    </row>
    <row r="858" spans="1:2" x14ac:dyDescent="0.3">
      <c r="A858" s="19">
        <v>970236.16652981425</v>
      </c>
      <c r="B858" s="19">
        <v>0</v>
      </c>
    </row>
    <row r="859" spans="1:2" x14ac:dyDescent="0.3">
      <c r="A859" s="19">
        <v>971367.6864907135</v>
      </c>
      <c r="B859" s="19">
        <v>0</v>
      </c>
    </row>
    <row r="860" spans="1:2" x14ac:dyDescent="0.3">
      <c r="A860" s="19">
        <v>972499.20645161287</v>
      </c>
      <c r="B860" s="19">
        <v>0</v>
      </c>
    </row>
    <row r="861" spans="1:2" x14ac:dyDescent="0.3">
      <c r="A861" s="19">
        <v>973630.72641251213</v>
      </c>
      <c r="B861" s="19">
        <v>0</v>
      </c>
    </row>
    <row r="862" spans="1:2" x14ac:dyDescent="0.3">
      <c r="A862" s="19">
        <v>974762.2463734115</v>
      </c>
      <c r="B862" s="19">
        <v>0</v>
      </c>
    </row>
    <row r="863" spans="1:2" x14ac:dyDescent="0.3">
      <c r="A863" s="19">
        <v>975893.76633431076</v>
      </c>
      <c r="B863" s="19">
        <v>0</v>
      </c>
    </row>
    <row r="864" spans="1:2" x14ac:dyDescent="0.3">
      <c r="A864" s="19">
        <v>977025.28629521013</v>
      </c>
      <c r="B864" s="19">
        <v>0</v>
      </c>
    </row>
    <row r="865" spans="1:2" x14ac:dyDescent="0.3">
      <c r="A865" s="19">
        <v>978156.80625610938</v>
      </c>
      <c r="B865" s="19">
        <v>0</v>
      </c>
    </row>
    <row r="866" spans="1:2" x14ac:dyDescent="0.3">
      <c r="A866" s="19">
        <v>979288.32621700875</v>
      </c>
      <c r="B866" s="19">
        <v>2</v>
      </c>
    </row>
    <row r="867" spans="1:2" x14ac:dyDescent="0.3">
      <c r="A867" s="19">
        <v>980419.84617790801</v>
      </c>
      <c r="B867" s="19">
        <v>0</v>
      </c>
    </row>
    <row r="868" spans="1:2" x14ac:dyDescent="0.3">
      <c r="A868" s="19">
        <v>981551.36613880738</v>
      </c>
      <c r="B868" s="19">
        <v>0</v>
      </c>
    </row>
    <row r="869" spans="1:2" x14ac:dyDescent="0.3">
      <c r="A869" s="19">
        <v>982682.88609970664</v>
      </c>
      <c r="B869" s="19">
        <v>0</v>
      </c>
    </row>
    <row r="870" spans="1:2" x14ac:dyDescent="0.3">
      <c r="A870" s="19">
        <v>983814.40606060601</v>
      </c>
      <c r="B870" s="19">
        <v>0</v>
      </c>
    </row>
    <row r="871" spans="1:2" x14ac:dyDescent="0.3">
      <c r="A871" s="19">
        <v>984945.92602150526</v>
      </c>
      <c r="B871" s="19">
        <v>0</v>
      </c>
    </row>
    <row r="872" spans="1:2" x14ac:dyDescent="0.3">
      <c r="A872" s="19">
        <v>986077.44598240464</v>
      </c>
      <c r="B872" s="19">
        <v>0</v>
      </c>
    </row>
    <row r="873" spans="1:2" x14ac:dyDescent="0.3">
      <c r="A873" s="19">
        <v>987208.96594330401</v>
      </c>
      <c r="B873" s="19">
        <v>2</v>
      </c>
    </row>
    <row r="874" spans="1:2" x14ac:dyDescent="0.3">
      <c r="A874" s="19">
        <v>988340.48590420326</v>
      </c>
      <c r="B874" s="19">
        <v>0</v>
      </c>
    </row>
    <row r="875" spans="1:2" x14ac:dyDescent="0.3">
      <c r="A875" s="19">
        <v>989472.00586510263</v>
      </c>
      <c r="B875" s="19">
        <v>0</v>
      </c>
    </row>
    <row r="876" spans="1:2" x14ac:dyDescent="0.3">
      <c r="A876" s="19">
        <v>990603.52582600189</v>
      </c>
      <c r="B876" s="19">
        <v>0</v>
      </c>
    </row>
    <row r="877" spans="1:2" x14ac:dyDescent="0.3">
      <c r="A877" s="19">
        <v>991735.04578690126</v>
      </c>
      <c r="B877" s="19">
        <v>0</v>
      </c>
    </row>
    <row r="878" spans="1:2" x14ac:dyDescent="0.3">
      <c r="A878" s="19">
        <v>992866.56574780052</v>
      </c>
      <c r="B878" s="19">
        <v>0</v>
      </c>
    </row>
    <row r="879" spans="1:2" x14ac:dyDescent="0.3">
      <c r="A879" s="19">
        <v>993998.08570869989</v>
      </c>
      <c r="B879" s="19">
        <v>0</v>
      </c>
    </row>
    <row r="880" spans="1:2" x14ac:dyDescent="0.3">
      <c r="A880" s="19">
        <v>995129.60566959914</v>
      </c>
      <c r="B880" s="19">
        <v>0</v>
      </c>
    </row>
    <row r="881" spans="1:2" x14ac:dyDescent="0.3">
      <c r="A881" s="19">
        <v>996261.12563049851</v>
      </c>
      <c r="B881" s="19">
        <v>0</v>
      </c>
    </row>
    <row r="882" spans="1:2" x14ac:dyDescent="0.3">
      <c r="A882" s="19">
        <v>997392.64559139777</v>
      </c>
      <c r="B882" s="19">
        <v>0</v>
      </c>
    </row>
    <row r="883" spans="1:2" x14ac:dyDescent="0.3">
      <c r="A883" s="19">
        <v>998524.16555229714</v>
      </c>
      <c r="B883" s="19">
        <v>0</v>
      </c>
    </row>
    <row r="884" spans="1:2" x14ac:dyDescent="0.3">
      <c r="A884" s="19">
        <v>999655.6855131964</v>
      </c>
      <c r="B884" s="19">
        <v>0</v>
      </c>
    </row>
    <row r="885" spans="1:2" x14ac:dyDescent="0.3">
      <c r="A885" s="19">
        <v>1000787.2054740958</v>
      </c>
      <c r="B885" s="19">
        <v>0</v>
      </c>
    </row>
    <row r="886" spans="1:2" x14ac:dyDescent="0.3">
      <c r="A886" s="19">
        <v>1001918.725434995</v>
      </c>
      <c r="B886" s="19">
        <v>0</v>
      </c>
    </row>
    <row r="887" spans="1:2" x14ac:dyDescent="0.3">
      <c r="A887" s="19">
        <v>1003050.2453958944</v>
      </c>
      <c r="B887" s="19">
        <v>0</v>
      </c>
    </row>
    <row r="888" spans="1:2" x14ac:dyDescent="0.3">
      <c r="A888" s="19">
        <v>1004181.7653567937</v>
      </c>
      <c r="B888" s="19">
        <v>0</v>
      </c>
    </row>
    <row r="889" spans="1:2" x14ac:dyDescent="0.3">
      <c r="A889" s="19">
        <v>1005313.285317693</v>
      </c>
      <c r="B889" s="19">
        <v>0</v>
      </c>
    </row>
    <row r="890" spans="1:2" x14ac:dyDescent="0.3">
      <c r="A890" s="19">
        <v>1006444.8052785923</v>
      </c>
      <c r="B890" s="19">
        <v>0</v>
      </c>
    </row>
    <row r="891" spans="1:2" x14ac:dyDescent="0.3">
      <c r="A891" s="19">
        <v>1007576.3252394916</v>
      </c>
      <c r="B891" s="19">
        <v>0</v>
      </c>
    </row>
    <row r="892" spans="1:2" x14ac:dyDescent="0.3">
      <c r="A892" s="19">
        <v>1008707.8452003909</v>
      </c>
      <c r="B892" s="19">
        <v>0</v>
      </c>
    </row>
    <row r="893" spans="1:2" x14ac:dyDescent="0.3">
      <c r="A893" s="19">
        <v>1009839.3651612903</v>
      </c>
      <c r="B893" s="19">
        <v>0</v>
      </c>
    </row>
    <row r="894" spans="1:2" x14ac:dyDescent="0.3">
      <c r="A894" s="19">
        <v>1010970.8851221895</v>
      </c>
      <c r="B894" s="19">
        <v>0</v>
      </c>
    </row>
    <row r="895" spans="1:2" x14ac:dyDescent="0.3">
      <c r="A895" s="19">
        <v>1012102.4050830889</v>
      </c>
      <c r="B895" s="19">
        <v>0</v>
      </c>
    </row>
    <row r="896" spans="1:2" x14ac:dyDescent="0.3">
      <c r="A896" s="19">
        <v>1013233.9250439882</v>
      </c>
      <c r="B896" s="19">
        <v>0</v>
      </c>
    </row>
    <row r="897" spans="1:2" x14ac:dyDescent="0.3">
      <c r="A897" s="19">
        <v>1014365.4450048875</v>
      </c>
      <c r="B897" s="19">
        <v>0</v>
      </c>
    </row>
    <row r="898" spans="1:2" x14ac:dyDescent="0.3">
      <c r="A898" s="19">
        <v>1015496.9649657869</v>
      </c>
      <c r="B898" s="19">
        <v>0</v>
      </c>
    </row>
    <row r="899" spans="1:2" x14ac:dyDescent="0.3">
      <c r="A899" s="19">
        <v>1016628.4849266862</v>
      </c>
      <c r="B899" s="19">
        <v>0</v>
      </c>
    </row>
    <row r="900" spans="1:2" x14ac:dyDescent="0.3">
      <c r="A900" s="19">
        <v>1017760.0048875855</v>
      </c>
      <c r="B900" s="19">
        <v>2</v>
      </c>
    </row>
    <row r="901" spans="1:2" x14ac:dyDescent="0.3">
      <c r="A901" s="19">
        <v>1018891.5248484848</v>
      </c>
      <c r="B901" s="19">
        <v>0</v>
      </c>
    </row>
    <row r="902" spans="1:2" x14ac:dyDescent="0.3">
      <c r="A902" s="19">
        <v>1020023.0448093842</v>
      </c>
      <c r="B902" s="19">
        <v>0</v>
      </c>
    </row>
    <row r="903" spans="1:2" x14ac:dyDescent="0.3">
      <c r="A903" s="19">
        <v>1021154.5647702834</v>
      </c>
      <c r="B903" s="19">
        <v>0</v>
      </c>
    </row>
    <row r="904" spans="1:2" x14ac:dyDescent="0.3">
      <c r="A904" s="19">
        <v>1022286.0847311828</v>
      </c>
      <c r="B904" s="19">
        <v>0</v>
      </c>
    </row>
    <row r="905" spans="1:2" x14ac:dyDescent="0.3">
      <c r="A905" s="19">
        <v>1023417.604692082</v>
      </c>
      <c r="B905" s="19">
        <v>0</v>
      </c>
    </row>
    <row r="906" spans="1:2" x14ac:dyDescent="0.3">
      <c r="A906" s="19">
        <v>1024549.1246529814</v>
      </c>
      <c r="B906" s="19">
        <v>0</v>
      </c>
    </row>
    <row r="907" spans="1:2" x14ac:dyDescent="0.3">
      <c r="A907" s="19">
        <v>1025680.6446138807</v>
      </c>
      <c r="B907" s="19">
        <v>0</v>
      </c>
    </row>
    <row r="908" spans="1:2" x14ac:dyDescent="0.3">
      <c r="A908" s="19">
        <v>1026812.16457478</v>
      </c>
      <c r="B908" s="19">
        <v>0</v>
      </c>
    </row>
    <row r="909" spans="1:2" x14ac:dyDescent="0.3">
      <c r="A909" s="19">
        <v>1027943.6845356793</v>
      </c>
      <c r="B909" s="19">
        <v>0</v>
      </c>
    </row>
    <row r="910" spans="1:2" x14ac:dyDescent="0.3">
      <c r="A910" s="19">
        <v>1029075.2044965787</v>
      </c>
      <c r="B910" s="19">
        <v>0</v>
      </c>
    </row>
    <row r="911" spans="1:2" x14ac:dyDescent="0.3">
      <c r="A911" s="19">
        <v>1030206.7244574779</v>
      </c>
      <c r="B911" s="19">
        <v>0</v>
      </c>
    </row>
    <row r="912" spans="1:2" x14ac:dyDescent="0.3">
      <c r="A912" s="19">
        <v>1031338.2444183773</v>
      </c>
      <c r="B912" s="19">
        <v>0</v>
      </c>
    </row>
    <row r="913" spans="1:2" x14ac:dyDescent="0.3">
      <c r="A913" s="19">
        <v>1032469.7643792765</v>
      </c>
      <c r="B913" s="19">
        <v>0</v>
      </c>
    </row>
    <row r="914" spans="1:2" x14ac:dyDescent="0.3">
      <c r="A914" s="19">
        <v>1033601.2843401759</v>
      </c>
      <c r="B914" s="19">
        <v>0</v>
      </c>
    </row>
    <row r="915" spans="1:2" x14ac:dyDescent="0.3">
      <c r="A915" s="19">
        <v>1034732.8043010752</v>
      </c>
      <c r="B915" s="19">
        <v>0</v>
      </c>
    </row>
    <row r="916" spans="1:2" x14ac:dyDescent="0.3">
      <c r="A916" s="19">
        <v>1035864.3242619745</v>
      </c>
      <c r="B916" s="19">
        <v>1</v>
      </c>
    </row>
    <row r="917" spans="1:2" x14ac:dyDescent="0.3">
      <c r="A917" s="19">
        <v>1036995.8442228738</v>
      </c>
      <c r="B917" s="19">
        <v>0</v>
      </c>
    </row>
    <row r="918" spans="1:2" x14ac:dyDescent="0.3">
      <c r="A918" s="19">
        <v>1038127.3641837732</v>
      </c>
      <c r="B918" s="19">
        <v>1</v>
      </c>
    </row>
    <row r="919" spans="1:2" x14ac:dyDescent="0.3">
      <c r="A919" s="19">
        <v>1039258.8841446724</v>
      </c>
      <c r="B919" s="19">
        <v>0</v>
      </c>
    </row>
    <row r="920" spans="1:2" x14ac:dyDescent="0.3">
      <c r="A920" s="19">
        <v>1040390.4041055718</v>
      </c>
      <c r="B920" s="19">
        <v>0</v>
      </c>
    </row>
    <row r="921" spans="1:2" x14ac:dyDescent="0.3">
      <c r="A921" s="19">
        <v>1041521.9240664711</v>
      </c>
      <c r="B921" s="19">
        <v>0</v>
      </c>
    </row>
    <row r="922" spans="1:2" x14ac:dyDescent="0.3">
      <c r="A922" s="19">
        <v>1042653.4440273704</v>
      </c>
      <c r="B922" s="19">
        <v>0</v>
      </c>
    </row>
    <row r="923" spans="1:2" x14ac:dyDescent="0.3">
      <c r="A923" s="19">
        <v>1043784.9639882697</v>
      </c>
      <c r="B923" s="19">
        <v>0</v>
      </c>
    </row>
    <row r="924" spans="1:2" x14ac:dyDescent="0.3">
      <c r="A924" s="19">
        <v>1044916.4839491691</v>
      </c>
      <c r="B924" s="19">
        <v>0</v>
      </c>
    </row>
    <row r="925" spans="1:2" x14ac:dyDescent="0.3">
      <c r="A925" s="19">
        <v>1046048.0039100684</v>
      </c>
      <c r="B925" s="19">
        <v>0</v>
      </c>
    </row>
    <row r="926" spans="1:2" x14ac:dyDescent="0.3">
      <c r="A926" s="19">
        <v>1047179.5238709677</v>
      </c>
      <c r="B926" s="19">
        <v>0</v>
      </c>
    </row>
    <row r="927" spans="1:2" x14ac:dyDescent="0.3">
      <c r="A927" s="19">
        <v>1048311.043831867</v>
      </c>
      <c r="B927" s="19">
        <v>0</v>
      </c>
    </row>
    <row r="928" spans="1:2" x14ac:dyDescent="0.3">
      <c r="A928" s="19">
        <v>1049442.5637927663</v>
      </c>
      <c r="B928" s="19">
        <v>0</v>
      </c>
    </row>
    <row r="929" spans="1:2" x14ac:dyDescent="0.3">
      <c r="A929" s="19">
        <v>1050574.0837536657</v>
      </c>
      <c r="B929" s="19">
        <v>0</v>
      </c>
    </row>
    <row r="930" spans="1:2" x14ac:dyDescent="0.3">
      <c r="A930" s="19">
        <v>1051705.603714565</v>
      </c>
      <c r="B930" s="19">
        <v>0</v>
      </c>
    </row>
    <row r="931" spans="1:2" x14ac:dyDescent="0.3">
      <c r="A931" s="19">
        <v>1052837.1236754644</v>
      </c>
      <c r="B931" s="19">
        <v>0</v>
      </c>
    </row>
    <row r="932" spans="1:2" x14ac:dyDescent="0.3">
      <c r="A932" s="19">
        <v>1053968.6436363638</v>
      </c>
      <c r="B932" s="19">
        <v>0</v>
      </c>
    </row>
    <row r="933" spans="1:2" x14ac:dyDescent="0.3">
      <c r="A933" s="19">
        <v>1055100.1635972629</v>
      </c>
      <c r="B933" s="19">
        <v>0</v>
      </c>
    </row>
    <row r="934" spans="1:2" x14ac:dyDescent="0.3">
      <c r="A934" s="19">
        <v>1056231.6835581623</v>
      </c>
      <c r="B934" s="19">
        <v>0</v>
      </c>
    </row>
    <row r="935" spans="1:2" x14ac:dyDescent="0.3">
      <c r="A935" s="19">
        <v>1057363.2035190617</v>
      </c>
      <c r="B935" s="19">
        <v>0</v>
      </c>
    </row>
    <row r="936" spans="1:2" x14ac:dyDescent="0.3">
      <c r="A936" s="19">
        <v>1058494.723479961</v>
      </c>
      <c r="B936" s="19">
        <v>0</v>
      </c>
    </row>
    <row r="937" spans="1:2" x14ac:dyDescent="0.3">
      <c r="A937" s="19">
        <v>1059626.2434408602</v>
      </c>
      <c r="B937" s="19">
        <v>0</v>
      </c>
    </row>
    <row r="938" spans="1:2" x14ac:dyDescent="0.3">
      <c r="A938" s="19">
        <v>1060757.7634017596</v>
      </c>
      <c r="B938" s="19">
        <v>0</v>
      </c>
    </row>
    <row r="939" spans="1:2" x14ac:dyDescent="0.3">
      <c r="A939" s="19">
        <v>1061889.2833626589</v>
      </c>
      <c r="B939" s="19">
        <v>0</v>
      </c>
    </row>
    <row r="940" spans="1:2" x14ac:dyDescent="0.3">
      <c r="A940" s="19">
        <v>1063020.8033235583</v>
      </c>
      <c r="B940" s="19">
        <v>0</v>
      </c>
    </row>
    <row r="941" spans="1:2" x14ac:dyDescent="0.3">
      <c r="A941" s="19">
        <v>1064152.3232844574</v>
      </c>
      <c r="B941" s="19">
        <v>0</v>
      </c>
    </row>
    <row r="942" spans="1:2" x14ac:dyDescent="0.3">
      <c r="A942" s="19">
        <v>1065283.8432453568</v>
      </c>
      <c r="B942" s="19">
        <v>0</v>
      </c>
    </row>
    <row r="943" spans="1:2" x14ac:dyDescent="0.3">
      <c r="A943" s="19">
        <v>1066415.3632062562</v>
      </c>
      <c r="B943" s="19">
        <v>0</v>
      </c>
    </row>
    <row r="944" spans="1:2" x14ac:dyDescent="0.3">
      <c r="A944" s="19">
        <v>1067546.8831671556</v>
      </c>
      <c r="B944" s="19">
        <v>0</v>
      </c>
    </row>
    <row r="945" spans="1:2" x14ac:dyDescent="0.3">
      <c r="A945" s="19">
        <v>1068678.4031280547</v>
      </c>
      <c r="B945" s="19">
        <v>0</v>
      </c>
    </row>
    <row r="946" spans="1:2" x14ac:dyDescent="0.3">
      <c r="A946" s="19">
        <v>1069809.9230889541</v>
      </c>
      <c r="B946" s="19">
        <v>0</v>
      </c>
    </row>
    <row r="947" spans="1:2" x14ac:dyDescent="0.3">
      <c r="A947" s="19">
        <v>1070941.4430498534</v>
      </c>
      <c r="B947" s="19">
        <v>0</v>
      </c>
    </row>
    <row r="948" spans="1:2" x14ac:dyDescent="0.3">
      <c r="A948" s="19">
        <v>1072072.9630107528</v>
      </c>
      <c r="B948" s="19">
        <v>0</v>
      </c>
    </row>
    <row r="949" spans="1:2" x14ac:dyDescent="0.3">
      <c r="A949" s="19">
        <v>1073204.4829716519</v>
      </c>
      <c r="B949" s="19">
        <v>0</v>
      </c>
    </row>
    <row r="950" spans="1:2" x14ac:dyDescent="0.3">
      <c r="A950" s="19">
        <v>1074336.0029325513</v>
      </c>
      <c r="B950" s="19">
        <v>0</v>
      </c>
    </row>
    <row r="951" spans="1:2" x14ac:dyDescent="0.3">
      <c r="A951" s="19">
        <v>1075467.5228934507</v>
      </c>
      <c r="B951" s="19">
        <v>0</v>
      </c>
    </row>
    <row r="952" spans="1:2" x14ac:dyDescent="0.3">
      <c r="A952" s="19">
        <v>1076599.0428543501</v>
      </c>
      <c r="B952" s="19">
        <v>0</v>
      </c>
    </row>
    <row r="953" spans="1:2" x14ac:dyDescent="0.3">
      <c r="A953" s="19">
        <v>1077730.5628152494</v>
      </c>
      <c r="B953" s="19">
        <v>0</v>
      </c>
    </row>
    <row r="954" spans="1:2" x14ac:dyDescent="0.3">
      <c r="A954" s="19">
        <v>1078862.0827761486</v>
      </c>
      <c r="B954" s="19">
        <v>0</v>
      </c>
    </row>
    <row r="955" spans="1:2" x14ac:dyDescent="0.3">
      <c r="A955" s="19">
        <v>1079993.6027370479</v>
      </c>
      <c r="B955" s="19">
        <v>0</v>
      </c>
    </row>
    <row r="956" spans="1:2" x14ac:dyDescent="0.3">
      <c r="A956" s="19">
        <v>1081125.1226979473</v>
      </c>
      <c r="B956" s="19">
        <v>0</v>
      </c>
    </row>
    <row r="957" spans="1:2" x14ac:dyDescent="0.3">
      <c r="A957" s="19">
        <v>1082256.6426588467</v>
      </c>
      <c r="B957" s="19">
        <v>0</v>
      </c>
    </row>
    <row r="958" spans="1:2" x14ac:dyDescent="0.3">
      <c r="A958" s="19">
        <v>1083388.1626197458</v>
      </c>
      <c r="B958" s="19">
        <v>0</v>
      </c>
    </row>
    <row r="959" spans="1:2" x14ac:dyDescent="0.3">
      <c r="A959" s="19">
        <v>1084519.6825806452</v>
      </c>
      <c r="B959" s="19">
        <v>0</v>
      </c>
    </row>
    <row r="960" spans="1:2" x14ac:dyDescent="0.3">
      <c r="A960" s="19">
        <v>1085651.2025415446</v>
      </c>
      <c r="B960" s="19">
        <v>0</v>
      </c>
    </row>
    <row r="961" spans="1:2" x14ac:dyDescent="0.3">
      <c r="A961" s="19">
        <v>1086782.7225024439</v>
      </c>
      <c r="B961" s="19">
        <v>0</v>
      </c>
    </row>
    <row r="962" spans="1:2" x14ac:dyDescent="0.3">
      <c r="A962" s="19">
        <v>1087914.2424633431</v>
      </c>
      <c r="B962" s="19">
        <v>0</v>
      </c>
    </row>
    <row r="963" spans="1:2" x14ac:dyDescent="0.3">
      <c r="A963" s="19">
        <v>1089045.7624242424</v>
      </c>
      <c r="B963" s="19">
        <v>0</v>
      </c>
    </row>
    <row r="964" spans="1:2" x14ac:dyDescent="0.3">
      <c r="A964" s="19">
        <v>1090177.2823851418</v>
      </c>
      <c r="B964" s="19">
        <v>0</v>
      </c>
    </row>
    <row r="965" spans="1:2" x14ac:dyDescent="0.3">
      <c r="A965" s="19">
        <v>1091308.8023460412</v>
      </c>
      <c r="B965" s="19">
        <v>0</v>
      </c>
    </row>
    <row r="966" spans="1:2" x14ac:dyDescent="0.3">
      <c r="A966" s="19">
        <v>1092440.3223069403</v>
      </c>
      <c r="B966" s="19">
        <v>0</v>
      </c>
    </row>
    <row r="967" spans="1:2" x14ac:dyDescent="0.3">
      <c r="A967" s="19">
        <v>1093571.8422678397</v>
      </c>
      <c r="B967" s="19">
        <v>0</v>
      </c>
    </row>
    <row r="968" spans="1:2" x14ac:dyDescent="0.3">
      <c r="A968" s="19">
        <v>1094703.3622287391</v>
      </c>
      <c r="B968" s="19">
        <v>0</v>
      </c>
    </row>
    <row r="969" spans="1:2" x14ac:dyDescent="0.3">
      <c r="A969" s="19">
        <v>1095834.8821896384</v>
      </c>
      <c r="B969" s="19">
        <v>0</v>
      </c>
    </row>
    <row r="970" spans="1:2" x14ac:dyDescent="0.3">
      <c r="A970" s="19">
        <v>1096966.4021505376</v>
      </c>
      <c r="B970" s="19">
        <v>0</v>
      </c>
    </row>
    <row r="971" spans="1:2" x14ac:dyDescent="0.3">
      <c r="A971" s="19">
        <v>1098097.922111437</v>
      </c>
      <c r="B971" s="19">
        <v>0</v>
      </c>
    </row>
    <row r="972" spans="1:2" x14ac:dyDescent="0.3">
      <c r="A972" s="19">
        <v>1099229.4420723363</v>
      </c>
      <c r="B972" s="19">
        <v>0</v>
      </c>
    </row>
    <row r="973" spans="1:2" x14ac:dyDescent="0.3">
      <c r="A973" s="19">
        <v>1100360.9620332357</v>
      </c>
      <c r="B973" s="19">
        <v>0</v>
      </c>
    </row>
    <row r="974" spans="1:2" x14ac:dyDescent="0.3">
      <c r="A974" s="19">
        <v>1101492.4819941348</v>
      </c>
      <c r="B974" s="19">
        <v>0</v>
      </c>
    </row>
    <row r="975" spans="1:2" x14ac:dyDescent="0.3">
      <c r="A975" s="19">
        <v>1102624.0019550342</v>
      </c>
      <c r="B975" s="19">
        <v>0</v>
      </c>
    </row>
    <row r="976" spans="1:2" x14ac:dyDescent="0.3">
      <c r="A976" s="19">
        <v>1103755.5219159336</v>
      </c>
      <c r="B976" s="19">
        <v>0</v>
      </c>
    </row>
    <row r="977" spans="1:2" x14ac:dyDescent="0.3">
      <c r="A977" s="19">
        <v>1104887.041876833</v>
      </c>
      <c r="B977" s="19">
        <v>0</v>
      </c>
    </row>
    <row r="978" spans="1:2" x14ac:dyDescent="0.3">
      <c r="A978" s="19">
        <v>1106018.5618377323</v>
      </c>
      <c r="B978" s="19">
        <v>0</v>
      </c>
    </row>
    <row r="979" spans="1:2" x14ac:dyDescent="0.3">
      <c r="A979" s="19">
        <v>1107150.0817986315</v>
      </c>
      <c r="B979" s="19">
        <v>0</v>
      </c>
    </row>
    <row r="980" spans="1:2" x14ac:dyDescent="0.3">
      <c r="A980" s="19">
        <v>1108281.6017595308</v>
      </c>
      <c r="B980" s="19">
        <v>0</v>
      </c>
    </row>
    <row r="981" spans="1:2" x14ac:dyDescent="0.3">
      <c r="A981" s="19">
        <v>1109413.1217204302</v>
      </c>
      <c r="B981" s="19">
        <v>0</v>
      </c>
    </row>
    <row r="982" spans="1:2" x14ac:dyDescent="0.3">
      <c r="A982" s="19">
        <v>1110544.6416813296</v>
      </c>
      <c r="B982" s="19">
        <v>0</v>
      </c>
    </row>
    <row r="983" spans="1:2" x14ac:dyDescent="0.3">
      <c r="A983" s="19">
        <v>1111676.1616422287</v>
      </c>
      <c r="B983" s="19">
        <v>0</v>
      </c>
    </row>
    <row r="984" spans="1:2" x14ac:dyDescent="0.3">
      <c r="A984" s="19">
        <v>1112807.6816031281</v>
      </c>
      <c r="B984" s="19">
        <v>0</v>
      </c>
    </row>
    <row r="985" spans="1:2" x14ac:dyDescent="0.3">
      <c r="A985" s="19">
        <v>1113939.2015640275</v>
      </c>
      <c r="B985" s="19">
        <v>0</v>
      </c>
    </row>
    <row r="986" spans="1:2" x14ac:dyDescent="0.3">
      <c r="A986" s="19">
        <v>1115070.7215249268</v>
      </c>
      <c r="B986" s="19">
        <v>0</v>
      </c>
    </row>
    <row r="987" spans="1:2" x14ac:dyDescent="0.3">
      <c r="A987" s="19">
        <v>1116202.241485826</v>
      </c>
      <c r="B987" s="19">
        <v>0</v>
      </c>
    </row>
    <row r="988" spans="1:2" x14ac:dyDescent="0.3">
      <c r="A988" s="19">
        <v>1117333.7614467253</v>
      </c>
      <c r="B988" s="19">
        <v>0</v>
      </c>
    </row>
    <row r="989" spans="1:2" x14ac:dyDescent="0.3">
      <c r="A989" s="19">
        <v>1118465.2814076247</v>
      </c>
      <c r="B989" s="19">
        <v>0</v>
      </c>
    </row>
    <row r="990" spans="1:2" x14ac:dyDescent="0.3">
      <c r="A990" s="19">
        <v>1119596.8013685241</v>
      </c>
      <c r="B990" s="19">
        <v>0</v>
      </c>
    </row>
    <row r="991" spans="1:2" x14ac:dyDescent="0.3">
      <c r="A991" s="19">
        <v>1120728.3213294232</v>
      </c>
      <c r="B991" s="19">
        <v>0</v>
      </c>
    </row>
    <row r="992" spans="1:2" x14ac:dyDescent="0.3">
      <c r="A992" s="19">
        <v>1121859.8412903226</v>
      </c>
      <c r="B992" s="19">
        <v>0</v>
      </c>
    </row>
    <row r="993" spans="1:2" x14ac:dyDescent="0.3">
      <c r="A993" s="19">
        <v>1122991.361251222</v>
      </c>
      <c r="B993" s="19">
        <v>0</v>
      </c>
    </row>
    <row r="994" spans="1:2" x14ac:dyDescent="0.3">
      <c r="A994" s="19">
        <v>1124122.8812121213</v>
      </c>
      <c r="B994" s="19">
        <v>0</v>
      </c>
    </row>
    <row r="995" spans="1:2" x14ac:dyDescent="0.3">
      <c r="A995" s="19">
        <v>1125254.4011730205</v>
      </c>
      <c r="B995" s="19">
        <v>0</v>
      </c>
    </row>
    <row r="996" spans="1:2" x14ac:dyDescent="0.3">
      <c r="A996" s="19">
        <v>1126385.9211339199</v>
      </c>
      <c r="B996" s="19">
        <v>0</v>
      </c>
    </row>
    <row r="997" spans="1:2" x14ac:dyDescent="0.3">
      <c r="A997" s="19">
        <v>1127517.4410948192</v>
      </c>
      <c r="B997" s="19">
        <v>0</v>
      </c>
    </row>
    <row r="998" spans="1:2" x14ac:dyDescent="0.3">
      <c r="A998" s="19">
        <v>1128648.9610557186</v>
      </c>
      <c r="B998" s="19">
        <v>0</v>
      </c>
    </row>
    <row r="999" spans="1:2" x14ac:dyDescent="0.3">
      <c r="A999" s="19">
        <v>1129780.4810166177</v>
      </c>
      <c r="B999" s="19">
        <v>0</v>
      </c>
    </row>
    <row r="1000" spans="1:2" x14ac:dyDescent="0.3">
      <c r="A1000" s="19">
        <v>1130912.0009775171</v>
      </c>
      <c r="B1000" s="19">
        <v>0</v>
      </c>
    </row>
    <row r="1001" spans="1:2" x14ac:dyDescent="0.3">
      <c r="A1001" s="19">
        <v>1132043.5209384165</v>
      </c>
      <c r="B1001" s="19">
        <v>0</v>
      </c>
    </row>
    <row r="1002" spans="1:2" x14ac:dyDescent="0.3">
      <c r="A1002" s="19">
        <v>1133175.0408993158</v>
      </c>
      <c r="B1002" s="19">
        <v>0</v>
      </c>
    </row>
    <row r="1003" spans="1:2" x14ac:dyDescent="0.3">
      <c r="A1003" s="19">
        <v>1134306.5608602152</v>
      </c>
      <c r="B1003" s="19">
        <v>0</v>
      </c>
    </row>
    <row r="1004" spans="1:2" x14ac:dyDescent="0.3">
      <c r="A1004" s="19">
        <v>1135438.0808211144</v>
      </c>
      <c r="B1004" s="19">
        <v>0</v>
      </c>
    </row>
    <row r="1005" spans="1:2" x14ac:dyDescent="0.3">
      <c r="A1005" s="19">
        <v>1136569.6007820137</v>
      </c>
      <c r="B1005" s="19">
        <v>0</v>
      </c>
    </row>
    <row r="1006" spans="1:2" x14ac:dyDescent="0.3">
      <c r="A1006" s="19">
        <v>1137701.1207429131</v>
      </c>
      <c r="B1006" s="19">
        <v>0</v>
      </c>
    </row>
    <row r="1007" spans="1:2" x14ac:dyDescent="0.3">
      <c r="A1007" s="19">
        <v>1138832.6407038125</v>
      </c>
      <c r="B1007" s="19">
        <v>0</v>
      </c>
    </row>
    <row r="1008" spans="1:2" x14ac:dyDescent="0.3">
      <c r="A1008" s="19">
        <v>1139964.1606647116</v>
      </c>
      <c r="B1008" s="19">
        <v>0</v>
      </c>
    </row>
    <row r="1009" spans="1:2" x14ac:dyDescent="0.3">
      <c r="A1009" s="19">
        <v>1141095.680625611</v>
      </c>
      <c r="B1009" s="19">
        <v>0</v>
      </c>
    </row>
    <row r="1010" spans="1:2" x14ac:dyDescent="0.3">
      <c r="A1010" s="19">
        <v>1142227.2005865104</v>
      </c>
      <c r="B1010" s="19">
        <v>0</v>
      </c>
    </row>
    <row r="1011" spans="1:2" x14ac:dyDescent="0.3">
      <c r="A1011" s="19">
        <v>1143358.7205474097</v>
      </c>
      <c r="B1011" s="19">
        <v>0</v>
      </c>
    </row>
    <row r="1012" spans="1:2" x14ac:dyDescent="0.3">
      <c r="A1012" s="19">
        <v>1144490.2405083089</v>
      </c>
      <c r="B1012" s="19">
        <v>0</v>
      </c>
    </row>
    <row r="1013" spans="1:2" x14ac:dyDescent="0.3">
      <c r="A1013" s="19">
        <v>1145621.7604692082</v>
      </c>
      <c r="B1013" s="19">
        <v>0</v>
      </c>
    </row>
    <row r="1014" spans="1:2" x14ac:dyDescent="0.3">
      <c r="A1014" s="19">
        <v>1146753.2804301076</v>
      </c>
      <c r="B1014" s="19">
        <v>0</v>
      </c>
    </row>
    <row r="1015" spans="1:2" x14ac:dyDescent="0.3">
      <c r="A1015" s="19">
        <v>1147884.800391007</v>
      </c>
      <c r="B1015" s="19">
        <v>0</v>
      </c>
    </row>
    <row r="1016" spans="1:2" x14ac:dyDescent="0.3">
      <c r="A1016" s="19">
        <v>1149016.3203519061</v>
      </c>
      <c r="B1016" s="19">
        <v>0</v>
      </c>
    </row>
    <row r="1017" spans="1:2" x14ac:dyDescent="0.3">
      <c r="A1017" s="19">
        <v>1150147.8403128055</v>
      </c>
      <c r="B1017" s="19">
        <v>0</v>
      </c>
    </row>
    <row r="1018" spans="1:2" x14ac:dyDescent="0.3">
      <c r="A1018" s="19">
        <v>1151279.3602737049</v>
      </c>
      <c r="B1018" s="19">
        <v>0</v>
      </c>
    </row>
    <row r="1019" spans="1:2" x14ac:dyDescent="0.3">
      <c r="A1019" s="19">
        <v>1152410.8802346042</v>
      </c>
      <c r="B1019" s="19">
        <v>0</v>
      </c>
    </row>
    <row r="1020" spans="1:2" x14ac:dyDescent="0.3">
      <c r="A1020" s="19">
        <v>1153542.4001955034</v>
      </c>
      <c r="B1020" s="19">
        <v>0</v>
      </c>
    </row>
    <row r="1021" spans="1:2" x14ac:dyDescent="0.3">
      <c r="A1021" s="19">
        <v>1154673.9201564027</v>
      </c>
      <c r="B1021" s="19">
        <v>0</v>
      </c>
    </row>
    <row r="1022" spans="1:2" x14ac:dyDescent="0.3">
      <c r="A1022" s="19">
        <v>1155805.4401173021</v>
      </c>
      <c r="B1022" s="19">
        <v>0</v>
      </c>
    </row>
    <row r="1023" spans="1:2" x14ac:dyDescent="0.3">
      <c r="A1023" s="19">
        <v>1156936.9600782015</v>
      </c>
      <c r="B1023" s="19">
        <v>0</v>
      </c>
    </row>
    <row r="1024" spans="1:2" x14ac:dyDescent="0.3">
      <c r="A1024" s="19">
        <v>1158068.4800391006</v>
      </c>
      <c r="B1024" s="19">
        <v>0</v>
      </c>
    </row>
    <row r="1025" spans="1:2" ht="15" thickBot="1" x14ac:dyDescent="0.35">
      <c r="A1025" s="17" t="s">
        <v>97</v>
      </c>
      <c r="B1025" s="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1"/>
  <sheetViews>
    <sheetView workbookViewId="0">
      <selection activeCell="F16" sqref="F16"/>
    </sheetView>
  </sheetViews>
  <sheetFormatPr defaultRowHeight="14.4" x14ac:dyDescent="0.3"/>
  <cols>
    <col min="1" max="1" width="17.6640625" style="1" customWidth="1"/>
    <col min="2" max="2" width="13.77734375" customWidth="1"/>
    <col min="3" max="3" width="18.44140625" bestFit="1" customWidth="1"/>
  </cols>
  <sheetData>
    <row r="1" spans="1:3" x14ac:dyDescent="0.3">
      <c r="A1" t="s">
        <v>57</v>
      </c>
      <c r="B1" t="s">
        <v>3</v>
      </c>
      <c r="C1" s="1" t="s">
        <v>33</v>
      </c>
    </row>
    <row r="2" spans="1:3" x14ac:dyDescent="0.3">
      <c r="A2" s="1">
        <v>32370</v>
      </c>
      <c r="B2" s="1">
        <v>16185</v>
      </c>
      <c r="C2" s="1">
        <v>16185</v>
      </c>
    </row>
    <row r="3" spans="1:3" x14ac:dyDescent="0.3">
      <c r="A3" s="1">
        <v>26420</v>
      </c>
      <c r="B3" s="1">
        <v>13210</v>
      </c>
      <c r="C3" s="1">
        <v>13210</v>
      </c>
    </row>
    <row r="4" spans="1:3" x14ac:dyDescent="0.3">
      <c r="A4" s="1">
        <v>32670</v>
      </c>
      <c r="B4" s="1">
        <v>21780</v>
      </c>
      <c r="C4" s="1">
        <v>10890</v>
      </c>
    </row>
    <row r="5" spans="1:3" x14ac:dyDescent="0.3">
      <c r="A5" s="1">
        <v>13320</v>
      </c>
      <c r="B5" s="1">
        <v>8880</v>
      </c>
      <c r="C5" s="1">
        <v>4440</v>
      </c>
    </row>
    <row r="6" spans="1:3" x14ac:dyDescent="0.3">
      <c r="A6" s="1">
        <v>37050</v>
      </c>
      <c r="B6" s="1">
        <v>24700</v>
      </c>
      <c r="C6" s="1">
        <v>12350</v>
      </c>
    </row>
    <row r="7" spans="1:3" x14ac:dyDescent="0.3">
      <c r="A7" s="1">
        <v>529550</v>
      </c>
      <c r="B7" s="1">
        <v>393380</v>
      </c>
      <c r="C7" s="1">
        <v>136170</v>
      </c>
    </row>
    <row r="8" spans="1:3" x14ac:dyDescent="0.3">
      <c r="A8" s="1">
        <v>13815</v>
      </c>
      <c r="B8" s="1">
        <v>9210</v>
      </c>
      <c r="C8" s="1">
        <v>4605</v>
      </c>
    </row>
    <row r="9" spans="1:3" x14ac:dyDescent="0.3">
      <c r="A9" s="1">
        <v>30216</v>
      </c>
      <c r="B9" s="1">
        <v>7554</v>
      </c>
      <c r="C9" s="1">
        <v>22662</v>
      </c>
    </row>
    <row r="10" spans="1:3" x14ac:dyDescent="0.3">
      <c r="A10" s="1">
        <v>37980</v>
      </c>
      <c r="B10" s="1">
        <v>18990</v>
      </c>
      <c r="C10" s="1">
        <v>18990</v>
      </c>
    </row>
    <row r="11" spans="1:3" x14ac:dyDescent="0.3">
      <c r="A11" s="1">
        <v>18540</v>
      </c>
      <c r="B11" s="1">
        <v>4635</v>
      </c>
      <c r="C11" s="1">
        <v>13905</v>
      </c>
    </row>
    <row r="12" spans="1:3" x14ac:dyDescent="0.3">
      <c r="A12" s="1">
        <v>37050</v>
      </c>
      <c r="B12" s="1">
        <v>24700</v>
      </c>
      <c r="C12" s="1">
        <v>12350</v>
      </c>
    </row>
    <row r="13" spans="1:3" x14ac:dyDescent="0.3">
      <c r="A13" s="1">
        <v>333187.5</v>
      </c>
      <c r="B13" s="1">
        <v>319860</v>
      </c>
      <c r="C13" s="1">
        <v>13327.5</v>
      </c>
    </row>
    <row r="14" spans="1:3" x14ac:dyDescent="0.3">
      <c r="A14" s="1">
        <v>287400</v>
      </c>
      <c r="B14" s="1">
        <v>239500</v>
      </c>
      <c r="C14" s="1">
        <v>47900</v>
      </c>
    </row>
    <row r="15" spans="1:3" x14ac:dyDescent="0.3">
      <c r="A15" s="1">
        <v>15022</v>
      </c>
      <c r="B15" s="1">
        <v>10730</v>
      </c>
      <c r="C15" s="1">
        <v>4292</v>
      </c>
    </row>
    <row r="16" spans="1:3" x14ac:dyDescent="0.3">
      <c r="A16" s="1">
        <v>43125</v>
      </c>
      <c r="B16" s="1">
        <v>41400</v>
      </c>
      <c r="C16" s="1">
        <v>1725</v>
      </c>
    </row>
    <row r="17" spans="1:3" x14ac:dyDescent="0.3">
      <c r="A17" s="1">
        <v>9225</v>
      </c>
      <c r="B17" s="1">
        <v>6150</v>
      </c>
      <c r="C17" s="1">
        <v>3075</v>
      </c>
    </row>
    <row r="18" spans="1:3" x14ac:dyDescent="0.3">
      <c r="A18" s="1">
        <v>5840</v>
      </c>
      <c r="B18" s="1">
        <v>2920</v>
      </c>
      <c r="C18" s="1">
        <v>2920</v>
      </c>
    </row>
    <row r="19" spans="1:3" x14ac:dyDescent="0.3">
      <c r="A19" s="1">
        <v>14610</v>
      </c>
      <c r="B19" s="1">
        <v>9740</v>
      </c>
      <c r="C19" s="1">
        <v>4870</v>
      </c>
    </row>
    <row r="20" spans="1:3" x14ac:dyDescent="0.3">
      <c r="A20" s="1">
        <v>30216</v>
      </c>
      <c r="B20" s="1">
        <v>7554</v>
      </c>
      <c r="C20" s="1">
        <v>22662</v>
      </c>
    </row>
    <row r="21" spans="1:3" x14ac:dyDescent="0.3">
      <c r="A21" s="1">
        <v>352100</v>
      </c>
      <c r="B21" s="1">
        <v>261560</v>
      </c>
      <c r="C21" s="1">
        <v>90540</v>
      </c>
    </row>
    <row r="22" spans="1:3" x14ac:dyDescent="0.3">
      <c r="A22" s="1">
        <v>4404</v>
      </c>
      <c r="B22" s="1">
        <v>1101</v>
      </c>
      <c r="C22" s="1">
        <v>3303</v>
      </c>
    </row>
    <row r="23" spans="1:3" x14ac:dyDescent="0.3">
      <c r="A23" s="1">
        <v>6181</v>
      </c>
      <c r="B23" s="1">
        <v>4415</v>
      </c>
      <c r="C23" s="1">
        <v>1766</v>
      </c>
    </row>
    <row r="24" spans="1:3" x14ac:dyDescent="0.3">
      <c r="A24" s="1">
        <v>8235</v>
      </c>
      <c r="B24" s="1">
        <v>5490</v>
      </c>
      <c r="C24" s="1">
        <v>2745</v>
      </c>
    </row>
    <row r="25" spans="1:3" x14ac:dyDescent="0.3">
      <c r="A25" s="1">
        <v>236400</v>
      </c>
      <c r="B25" s="1">
        <v>197000</v>
      </c>
      <c r="C25" s="1">
        <v>39400</v>
      </c>
    </row>
    <row r="26" spans="1:3" x14ac:dyDescent="0.3">
      <c r="A26" s="1">
        <v>37080</v>
      </c>
      <c r="B26" s="1">
        <v>24720</v>
      </c>
      <c r="C26" s="1">
        <v>12360</v>
      </c>
    </row>
    <row r="27" spans="1:3" x14ac:dyDescent="0.3">
      <c r="A27" s="1">
        <v>8001</v>
      </c>
      <c r="B27" s="1">
        <v>5715</v>
      </c>
      <c r="C27" s="1">
        <v>2286</v>
      </c>
    </row>
    <row r="28" spans="1:3" x14ac:dyDescent="0.3">
      <c r="A28" s="1">
        <v>603750</v>
      </c>
      <c r="B28" s="1">
        <v>448500</v>
      </c>
      <c r="C28" s="1">
        <v>155250</v>
      </c>
    </row>
    <row r="29" spans="1:3" x14ac:dyDescent="0.3">
      <c r="A29" s="1">
        <v>10944</v>
      </c>
      <c r="B29" s="1">
        <v>2736</v>
      </c>
      <c r="C29" s="1">
        <v>8208</v>
      </c>
    </row>
    <row r="30" spans="1:3" x14ac:dyDescent="0.3">
      <c r="A30" s="1">
        <v>32280</v>
      </c>
      <c r="B30" s="1">
        <v>21520</v>
      </c>
      <c r="C30" s="1">
        <v>10760</v>
      </c>
    </row>
    <row r="31" spans="1:3" x14ac:dyDescent="0.3">
      <c r="A31" s="1">
        <v>36340</v>
      </c>
      <c r="B31" s="1">
        <v>18170</v>
      </c>
      <c r="C31" s="1">
        <v>18170</v>
      </c>
    </row>
    <row r="32" spans="1:3" x14ac:dyDescent="0.3">
      <c r="A32" s="1">
        <v>529550</v>
      </c>
      <c r="B32" s="1">
        <v>393380</v>
      </c>
      <c r="C32" s="1">
        <v>136170</v>
      </c>
    </row>
    <row r="33" spans="1:3" x14ac:dyDescent="0.3">
      <c r="A33" s="1">
        <v>10451</v>
      </c>
      <c r="B33" s="1">
        <v>7465</v>
      </c>
      <c r="C33" s="1">
        <v>2986</v>
      </c>
    </row>
    <row r="34" spans="1:3" x14ac:dyDescent="0.3">
      <c r="A34" s="1">
        <v>225500</v>
      </c>
      <c r="B34" s="1">
        <v>216480</v>
      </c>
      <c r="C34" s="1">
        <v>9020</v>
      </c>
    </row>
    <row r="35" spans="1:3" x14ac:dyDescent="0.3">
      <c r="A35" s="1">
        <v>25932</v>
      </c>
      <c r="B35" s="1">
        <v>6483</v>
      </c>
      <c r="C35" s="1">
        <v>19449</v>
      </c>
    </row>
    <row r="36" spans="1:3" x14ac:dyDescent="0.3">
      <c r="A36" s="1">
        <v>352100</v>
      </c>
      <c r="B36" s="1">
        <v>261560</v>
      </c>
      <c r="C36" s="1">
        <v>90540</v>
      </c>
    </row>
    <row r="37" spans="1:3" x14ac:dyDescent="0.3">
      <c r="A37" s="1">
        <v>18540</v>
      </c>
      <c r="B37" s="1">
        <v>4635</v>
      </c>
      <c r="C37" s="1">
        <v>13905</v>
      </c>
    </row>
    <row r="38" spans="1:3" x14ac:dyDescent="0.3">
      <c r="A38" s="1">
        <v>352625</v>
      </c>
      <c r="B38" s="1">
        <v>338520</v>
      </c>
      <c r="C38" s="1">
        <v>14105</v>
      </c>
    </row>
    <row r="39" spans="1:3" x14ac:dyDescent="0.3">
      <c r="A39" s="1">
        <v>43125</v>
      </c>
      <c r="B39" s="1">
        <v>41400</v>
      </c>
      <c r="C39" s="1">
        <v>1725</v>
      </c>
    </row>
    <row r="40" spans="1:3" x14ac:dyDescent="0.3">
      <c r="A40" s="1">
        <v>600300</v>
      </c>
      <c r="B40" s="1">
        <v>500250</v>
      </c>
      <c r="C40" s="1">
        <v>100050</v>
      </c>
    </row>
    <row r="41" spans="1:3" x14ac:dyDescent="0.3">
      <c r="A41" s="1">
        <v>34056</v>
      </c>
      <c r="B41" s="1">
        <v>8514</v>
      </c>
      <c r="C41" s="1">
        <v>25542</v>
      </c>
    </row>
    <row r="42" spans="1:3" x14ac:dyDescent="0.3">
      <c r="A42" s="1">
        <v>32670</v>
      </c>
      <c r="B42" s="1">
        <v>21780</v>
      </c>
      <c r="C42" s="1">
        <v>10890</v>
      </c>
    </row>
    <row r="43" spans="1:3" x14ac:dyDescent="0.3">
      <c r="A43" s="1">
        <v>13320</v>
      </c>
      <c r="B43" s="1">
        <v>8880</v>
      </c>
      <c r="C43" s="1">
        <v>4440</v>
      </c>
    </row>
    <row r="44" spans="1:3" x14ac:dyDescent="0.3">
      <c r="A44" s="1">
        <v>534450</v>
      </c>
      <c r="B44" s="1">
        <v>397020</v>
      </c>
      <c r="C44" s="1">
        <v>137430</v>
      </c>
    </row>
    <row r="45" spans="1:3" x14ac:dyDescent="0.3">
      <c r="A45" s="1">
        <v>645300</v>
      </c>
      <c r="B45" s="1">
        <v>537750</v>
      </c>
      <c r="C45" s="1">
        <v>107550</v>
      </c>
    </row>
    <row r="46" spans="1:3" x14ac:dyDescent="0.3">
      <c r="A46" s="1">
        <v>36340</v>
      </c>
      <c r="B46" s="1">
        <v>18170</v>
      </c>
      <c r="C46" s="1">
        <v>18170</v>
      </c>
    </row>
    <row r="47" spans="1:3" x14ac:dyDescent="0.3">
      <c r="A47" s="1">
        <v>962500</v>
      </c>
      <c r="B47" s="1">
        <v>715000</v>
      </c>
      <c r="C47" s="1">
        <v>247500</v>
      </c>
    </row>
    <row r="48" spans="1:3" x14ac:dyDescent="0.3">
      <c r="A48" s="1">
        <v>23436</v>
      </c>
      <c r="B48" s="1">
        <v>5859</v>
      </c>
      <c r="C48" s="1">
        <v>17577</v>
      </c>
    </row>
    <row r="49" spans="1:3" x14ac:dyDescent="0.3">
      <c r="A49" s="1">
        <v>527437.5</v>
      </c>
      <c r="B49" s="1">
        <v>506340</v>
      </c>
      <c r="C49" s="1">
        <v>21097.5</v>
      </c>
    </row>
    <row r="50" spans="1:3" x14ac:dyDescent="0.3">
      <c r="A50" s="1">
        <v>37980</v>
      </c>
      <c r="B50" s="1">
        <v>18990</v>
      </c>
      <c r="C50" s="1">
        <v>18990</v>
      </c>
    </row>
    <row r="51" spans="1:3" x14ac:dyDescent="0.3">
      <c r="A51" s="1">
        <v>11802</v>
      </c>
      <c r="B51" s="1">
        <v>8430</v>
      </c>
      <c r="C51" s="1">
        <v>3372</v>
      </c>
    </row>
    <row r="52" spans="1:3" x14ac:dyDescent="0.3">
      <c r="A52" s="1">
        <v>25692</v>
      </c>
      <c r="B52" s="1">
        <v>6423</v>
      </c>
      <c r="C52" s="1">
        <v>19269</v>
      </c>
    </row>
    <row r="53" spans="1:3" x14ac:dyDescent="0.3">
      <c r="A53" s="1">
        <v>8001</v>
      </c>
      <c r="B53" s="1">
        <v>5715</v>
      </c>
      <c r="C53" s="1">
        <v>2286</v>
      </c>
    </row>
    <row r="54" spans="1:3" x14ac:dyDescent="0.3">
      <c r="A54" s="1">
        <v>9225</v>
      </c>
      <c r="B54" s="1">
        <v>6150</v>
      </c>
      <c r="C54" s="1">
        <v>3075</v>
      </c>
    </row>
    <row r="55" spans="1:3" x14ac:dyDescent="0.3">
      <c r="A55" s="1">
        <v>27338.850000000002</v>
      </c>
      <c r="B55" s="1">
        <v>19725</v>
      </c>
      <c r="C55" s="1">
        <v>7613.8500000000022</v>
      </c>
    </row>
    <row r="56" spans="1:3" x14ac:dyDescent="0.3">
      <c r="A56" s="1">
        <v>34095.599999999999</v>
      </c>
      <c r="B56" s="1">
        <v>22960</v>
      </c>
      <c r="C56" s="1">
        <v>11135.599999999999</v>
      </c>
    </row>
    <row r="57" spans="1:3" x14ac:dyDescent="0.3">
      <c r="A57" s="1">
        <v>7137.9</v>
      </c>
      <c r="B57" s="1">
        <v>5150</v>
      </c>
      <c r="C57" s="1">
        <v>1987.8999999999996</v>
      </c>
    </row>
    <row r="58" spans="1:3" x14ac:dyDescent="0.3">
      <c r="A58" s="1">
        <v>4428.2700000000004</v>
      </c>
      <c r="B58" s="1">
        <v>3195</v>
      </c>
      <c r="C58" s="1">
        <v>1233.2700000000004</v>
      </c>
    </row>
    <row r="59" spans="1:3" x14ac:dyDescent="0.3">
      <c r="A59" s="1">
        <v>9189.18</v>
      </c>
      <c r="B59" s="1">
        <v>6630</v>
      </c>
      <c r="C59" s="1">
        <v>2559.1800000000003</v>
      </c>
    </row>
    <row r="60" spans="1:3" x14ac:dyDescent="0.3">
      <c r="A60" s="1">
        <v>22073.040000000001</v>
      </c>
      <c r="B60" s="1">
        <v>5574</v>
      </c>
      <c r="C60" s="1">
        <v>16499.04</v>
      </c>
    </row>
    <row r="61" spans="1:3" x14ac:dyDescent="0.3">
      <c r="A61" s="1">
        <v>419265</v>
      </c>
      <c r="B61" s="1">
        <v>314600</v>
      </c>
      <c r="C61" s="1">
        <v>104665</v>
      </c>
    </row>
    <row r="62" spans="1:3" x14ac:dyDescent="0.3">
      <c r="A62" s="1">
        <v>17525.97</v>
      </c>
      <c r="B62" s="1">
        <v>12645</v>
      </c>
      <c r="C62" s="1">
        <v>4880.9699999999993</v>
      </c>
    </row>
    <row r="63" spans="1:3" x14ac:dyDescent="0.3">
      <c r="A63" s="1">
        <v>17166.599999999999</v>
      </c>
      <c r="B63" s="1">
        <v>4335</v>
      </c>
      <c r="C63" s="1">
        <v>12831.599999999999</v>
      </c>
    </row>
    <row r="64" spans="1:3" x14ac:dyDescent="0.3">
      <c r="A64" s="1">
        <v>40837.5</v>
      </c>
      <c r="B64" s="1">
        <v>39600</v>
      </c>
      <c r="C64" s="1">
        <v>1237.5</v>
      </c>
    </row>
    <row r="65" spans="1:3" x14ac:dyDescent="0.3">
      <c r="A65" s="1">
        <v>31731.48</v>
      </c>
      <c r="B65" s="1">
        <v>8013</v>
      </c>
      <c r="C65" s="1">
        <v>23718.48</v>
      </c>
    </row>
    <row r="66" spans="1:3" x14ac:dyDescent="0.3">
      <c r="A66" s="1">
        <v>9100.08</v>
      </c>
      <c r="B66" s="1">
        <v>2298</v>
      </c>
      <c r="C66" s="1">
        <v>6802.08</v>
      </c>
    </row>
    <row r="67" spans="1:3" x14ac:dyDescent="0.3">
      <c r="A67" s="1">
        <v>146718</v>
      </c>
      <c r="B67" s="1">
        <v>123500</v>
      </c>
      <c r="C67" s="1">
        <v>23218</v>
      </c>
    </row>
    <row r="68" spans="1:3" x14ac:dyDescent="0.3">
      <c r="A68" s="1">
        <v>484060.5</v>
      </c>
      <c r="B68" s="1">
        <v>363220</v>
      </c>
      <c r="C68" s="1">
        <v>120840.5</v>
      </c>
    </row>
    <row r="69" spans="1:3" x14ac:dyDescent="0.3">
      <c r="A69" s="1">
        <v>746707.5</v>
      </c>
      <c r="B69" s="1">
        <v>560300</v>
      </c>
      <c r="C69" s="1">
        <v>186407.5</v>
      </c>
    </row>
    <row r="70" spans="1:3" x14ac:dyDescent="0.3">
      <c r="A70" s="1">
        <v>32877.9</v>
      </c>
      <c r="B70" s="1">
        <v>22140</v>
      </c>
      <c r="C70" s="1">
        <v>10737.900000000001</v>
      </c>
    </row>
    <row r="71" spans="1:3" x14ac:dyDescent="0.3">
      <c r="A71" s="1">
        <v>683397</v>
      </c>
      <c r="B71" s="1">
        <v>575250</v>
      </c>
      <c r="C71" s="1">
        <v>108147</v>
      </c>
    </row>
    <row r="72" spans="1:3" x14ac:dyDescent="0.3">
      <c r="A72" s="1">
        <v>27234.899999999998</v>
      </c>
      <c r="B72" s="1">
        <v>13755</v>
      </c>
      <c r="C72" s="1">
        <v>13479.899999999998</v>
      </c>
    </row>
    <row r="73" spans="1:3" x14ac:dyDescent="0.3">
      <c r="A73" s="1">
        <v>12681.9</v>
      </c>
      <c r="B73" s="1">
        <v>9150</v>
      </c>
      <c r="C73" s="1">
        <v>3531.8999999999996</v>
      </c>
    </row>
    <row r="74" spans="1:3" x14ac:dyDescent="0.3">
      <c r="A74" s="1">
        <v>741906</v>
      </c>
      <c r="B74" s="1">
        <v>624500</v>
      </c>
      <c r="C74" s="1">
        <v>117406</v>
      </c>
    </row>
    <row r="75" spans="1:3" x14ac:dyDescent="0.3">
      <c r="A75" s="1">
        <v>82046.25</v>
      </c>
      <c r="B75" s="1">
        <v>79560</v>
      </c>
      <c r="C75" s="1">
        <v>2486.25</v>
      </c>
    </row>
    <row r="76" spans="1:3" x14ac:dyDescent="0.3">
      <c r="A76" s="1">
        <v>22482.9</v>
      </c>
      <c r="B76" s="1">
        <v>15140</v>
      </c>
      <c r="C76" s="1">
        <v>7342.9000000000015</v>
      </c>
    </row>
    <row r="77" spans="1:3" x14ac:dyDescent="0.3">
      <c r="A77" s="1">
        <v>31133.024999999998</v>
      </c>
      <c r="B77" s="1">
        <v>22462.5</v>
      </c>
      <c r="C77" s="1">
        <v>8670.5249999999978</v>
      </c>
    </row>
    <row r="78" spans="1:3" x14ac:dyDescent="0.3">
      <c r="A78" s="1">
        <v>89966.25</v>
      </c>
      <c r="B78" s="1">
        <v>87240</v>
      </c>
      <c r="C78" s="1">
        <v>2726.25</v>
      </c>
    </row>
    <row r="79" spans="1:3" x14ac:dyDescent="0.3">
      <c r="A79" s="1">
        <v>97391.25</v>
      </c>
      <c r="B79" s="1">
        <v>94440</v>
      </c>
      <c r="C79" s="1">
        <v>2951.25</v>
      </c>
    </row>
    <row r="80" spans="1:3" x14ac:dyDescent="0.3">
      <c r="A80" s="1">
        <v>225596.25</v>
      </c>
      <c r="B80" s="1">
        <v>218760</v>
      </c>
      <c r="C80" s="1">
        <v>6836.25</v>
      </c>
    </row>
    <row r="81" spans="1:3" x14ac:dyDescent="0.3">
      <c r="A81" s="1">
        <v>11092.95</v>
      </c>
      <c r="B81" s="1">
        <v>7470</v>
      </c>
      <c r="C81" s="1">
        <v>3622.9500000000007</v>
      </c>
    </row>
    <row r="82" spans="1:3" x14ac:dyDescent="0.3">
      <c r="A82" s="1">
        <v>9100.08</v>
      </c>
      <c r="B82" s="1">
        <v>2298</v>
      </c>
      <c r="C82" s="1">
        <v>6802.08</v>
      </c>
    </row>
    <row r="83" spans="1:3" x14ac:dyDescent="0.3">
      <c r="A83" s="1">
        <v>862785</v>
      </c>
      <c r="B83" s="1">
        <v>726250</v>
      </c>
      <c r="C83" s="1">
        <v>136535</v>
      </c>
    </row>
    <row r="84" spans="1:3" x14ac:dyDescent="0.3">
      <c r="A84" s="1">
        <v>746707.5</v>
      </c>
      <c r="B84" s="1">
        <v>560300</v>
      </c>
      <c r="C84" s="1">
        <v>186407.5</v>
      </c>
    </row>
    <row r="85" spans="1:3" x14ac:dyDescent="0.3">
      <c r="A85" s="1">
        <v>76507.200000000012</v>
      </c>
      <c r="B85" s="1">
        <v>38640</v>
      </c>
      <c r="C85" s="1">
        <v>37867.200000000004</v>
      </c>
    </row>
    <row r="86" spans="1:3" x14ac:dyDescent="0.3">
      <c r="A86" s="1">
        <v>2508.66</v>
      </c>
      <c r="B86" s="1">
        <v>1810</v>
      </c>
      <c r="C86" s="1">
        <v>698.65999999999985</v>
      </c>
    </row>
    <row r="87" spans="1:3" x14ac:dyDescent="0.3">
      <c r="A87" s="1">
        <v>114221.25</v>
      </c>
      <c r="B87" s="1">
        <v>110760</v>
      </c>
      <c r="C87" s="1">
        <v>3461.25</v>
      </c>
    </row>
    <row r="88" spans="1:3" x14ac:dyDescent="0.3">
      <c r="A88" s="1">
        <v>82046.25</v>
      </c>
      <c r="B88" s="1">
        <v>79560</v>
      </c>
      <c r="C88" s="1">
        <v>2486.25</v>
      </c>
    </row>
    <row r="89" spans="1:3" x14ac:dyDescent="0.3">
      <c r="A89" s="1">
        <v>14497.56</v>
      </c>
      <c r="B89" s="1">
        <v>10460</v>
      </c>
      <c r="C89" s="1">
        <v>4037.5599999999995</v>
      </c>
    </row>
    <row r="90" spans="1:3" x14ac:dyDescent="0.3">
      <c r="A90" s="1">
        <v>1822.59</v>
      </c>
      <c r="B90" s="1">
        <v>1315</v>
      </c>
      <c r="C90" s="1">
        <v>507.58999999999992</v>
      </c>
    </row>
    <row r="91" spans="1:3" x14ac:dyDescent="0.3">
      <c r="A91" s="1">
        <v>326922.75</v>
      </c>
      <c r="B91" s="1">
        <v>245310</v>
      </c>
      <c r="C91" s="1">
        <v>81612.75</v>
      </c>
    </row>
    <row r="92" spans="1:3" x14ac:dyDescent="0.3">
      <c r="A92" s="1">
        <v>89966.25</v>
      </c>
      <c r="B92" s="1">
        <v>87240</v>
      </c>
      <c r="C92" s="1">
        <v>2726.25</v>
      </c>
    </row>
    <row r="93" spans="1:3" x14ac:dyDescent="0.3">
      <c r="A93" s="1">
        <v>97391.25</v>
      </c>
      <c r="B93" s="1">
        <v>94440</v>
      </c>
      <c r="C93" s="1">
        <v>2951.25</v>
      </c>
    </row>
    <row r="94" spans="1:3" x14ac:dyDescent="0.3">
      <c r="A94" s="1">
        <v>292842</v>
      </c>
      <c r="B94" s="1">
        <v>246500</v>
      </c>
      <c r="C94" s="1">
        <v>46342</v>
      </c>
    </row>
    <row r="95" spans="1:3" x14ac:dyDescent="0.3">
      <c r="A95" s="1">
        <v>146718</v>
      </c>
      <c r="B95" s="1">
        <v>123500</v>
      </c>
      <c r="C95" s="1">
        <v>23218</v>
      </c>
    </row>
    <row r="96" spans="1:3" x14ac:dyDescent="0.3">
      <c r="A96" s="1">
        <v>484060.5</v>
      </c>
      <c r="B96" s="1">
        <v>363220</v>
      </c>
      <c r="C96" s="1">
        <v>120840.5</v>
      </c>
    </row>
    <row r="97" spans="1:3" x14ac:dyDescent="0.3">
      <c r="A97" s="1">
        <v>215820</v>
      </c>
      <c r="B97" s="1">
        <v>209280</v>
      </c>
      <c r="C97" s="1">
        <v>6540</v>
      </c>
    </row>
    <row r="98" spans="1:3" x14ac:dyDescent="0.3">
      <c r="A98" s="1">
        <v>23629.32</v>
      </c>
      <c r="B98" s="1">
        <v>5967</v>
      </c>
      <c r="C98" s="1">
        <v>17662.32</v>
      </c>
    </row>
    <row r="99" spans="1:3" x14ac:dyDescent="0.3">
      <c r="A99" s="1">
        <v>4766.8500000000004</v>
      </c>
      <c r="B99" s="1">
        <v>3210</v>
      </c>
      <c r="C99" s="1">
        <v>1556.8500000000004</v>
      </c>
    </row>
    <row r="100" spans="1:3" x14ac:dyDescent="0.3">
      <c r="A100" s="1">
        <v>90956.25</v>
      </c>
      <c r="B100" s="1">
        <v>89100</v>
      </c>
      <c r="C100" s="1">
        <v>1856.25</v>
      </c>
    </row>
    <row r="101" spans="1:3" x14ac:dyDescent="0.3">
      <c r="A101" s="1">
        <v>15229.2</v>
      </c>
      <c r="B101" s="1">
        <v>3885</v>
      </c>
      <c r="C101" s="1">
        <v>11344.2</v>
      </c>
    </row>
    <row r="102" spans="1:3" x14ac:dyDescent="0.3">
      <c r="A102" s="1">
        <v>62916</v>
      </c>
      <c r="B102" s="1">
        <v>53500</v>
      </c>
      <c r="C102" s="1">
        <v>9416</v>
      </c>
    </row>
    <row r="103" spans="1:3" x14ac:dyDescent="0.3">
      <c r="A103" s="1">
        <v>14714.7</v>
      </c>
      <c r="B103" s="1">
        <v>10725</v>
      </c>
      <c r="C103" s="1">
        <v>3989.7000000000007</v>
      </c>
    </row>
    <row r="104" spans="1:3" x14ac:dyDescent="0.3">
      <c r="A104" s="1">
        <v>978236</v>
      </c>
      <c r="B104" s="1">
        <v>741520</v>
      </c>
      <c r="C104" s="1">
        <v>236716</v>
      </c>
    </row>
    <row r="105" spans="1:3" x14ac:dyDescent="0.3">
      <c r="A105" s="1">
        <v>13429.92</v>
      </c>
      <c r="B105" s="1">
        <v>3426</v>
      </c>
      <c r="C105" s="1">
        <v>10003.92</v>
      </c>
    </row>
    <row r="106" spans="1:3" x14ac:dyDescent="0.3">
      <c r="A106" s="1">
        <v>30693.599999999999</v>
      </c>
      <c r="B106" s="1">
        <v>15660</v>
      </c>
      <c r="C106" s="1">
        <v>15033.599999999999</v>
      </c>
    </row>
    <row r="107" spans="1:3" x14ac:dyDescent="0.3">
      <c r="A107" s="1">
        <v>8114.4</v>
      </c>
      <c r="B107" s="1">
        <v>2070</v>
      </c>
      <c r="C107" s="1">
        <v>6044.4</v>
      </c>
    </row>
    <row r="108" spans="1:3" x14ac:dyDescent="0.3">
      <c r="A108" s="1">
        <v>203350</v>
      </c>
      <c r="B108" s="1">
        <v>199200</v>
      </c>
      <c r="C108" s="1">
        <v>4150</v>
      </c>
    </row>
    <row r="109" spans="1:3" x14ac:dyDescent="0.3">
      <c r="A109" s="1">
        <v>34736.1</v>
      </c>
      <c r="B109" s="1">
        <v>23630</v>
      </c>
      <c r="C109" s="1">
        <v>11106.099999999999</v>
      </c>
    </row>
    <row r="110" spans="1:3" x14ac:dyDescent="0.3">
      <c r="A110" s="1">
        <v>269892</v>
      </c>
      <c r="B110" s="1">
        <v>229500</v>
      </c>
      <c r="C110" s="1">
        <v>40392</v>
      </c>
    </row>
    <row r="111" spans="1:3" x14ac:dyDescent="0.3">
      <c r="A111" s="1">
        <v>508032</v>
      </c>
      <c r="B111" s="1">
        <v>432000</v>
      </c>
      <c r="C111" s="1">
        <v>76032</v>
      </c>
    </row>
    <row r="112" spans="1:3" x14ac:dyDescent="0.3">
      <c r="A112" s="1">
        <v>13429.92</v>
      </c>
      <c r="B112" s="1">
        <v>3426</v>
      </c>
      <c r="C112" s="1">
        <v>10003.92</v>
      </c>
    </row>
    <row r="113" spans="1:3" x14ac:dyDescent="0.3">
      <c r="A113" s="1">
        <v>81095</v>
      </c>
      <c r="B113" s="1">
        <v>79440</v>
      </c>
      <c r="C113" s="1">
        <v>1655</v>
      </c>
    </row>
    <row r="114" spans="1:3" x14ac:dyDescent="0.3">
      <c r="A114" s="1">
        <v>15229.2</v>
      </c>
      <c r="B114" s="1">
        <v>3885</v>
      </c>
      <c r="C114" s="1">
        <v>11344.2</v>
      </c>
    </row>
    <row r="115" spans="1:3" x14ac:dyDescent="0.3">
      <c r="A115" s="1">
        <v>99102.5</v>
      </c>
      <c r="B115" s="1">
        <v>97080</v>
      </c>
      <c r="C115" s="1">
        <v>2022.5</v>
      </c>
    </row>
    <row r="116" spans="1:3" x14ac:dyDescent="0.3">
      <c r="A116" s="1">
        <v>262762.5</v>
      </c>
      <c r="B116" s="1">
        <v>257400</v>
      </c>
      <c r="C116" s="1">
        <v>5362.5</v>
      </c>
    </row>
    <row r="117" spans="1:3" x14ac:dyDescent="0.3">
      <c r="A117" s="1">
        <v>20991.599999999999</v>
      </c>
      <c r="B117" s="1">
        <v>5355</v>
      </c>
      <c r="C117" s="1">
        <v>15636.599999999999</v>
      </c>
    </row>
    <row r="118" spans="1:3" x14ac:dyDescent="0.3">
      <c r="A118" s="1">
        <v>563304</v>
      </c>
      <c r="B118" s="1">
        <v>479000</v>
      </c>
      <c r="C118" s="1">
        <v>84304</v>
      </c>
    </row>
    <row r="119" spans="1:3" x14ac:dyDescent="0.3">
      <c r="A119" s="1">
        <v>978236</v>
      </c>
      <c r="B119" s="1">
        <v>741520</v>
      </c>
      <c r="C119" s="1">
        <v>236716</v>
      </c>
    </row>
    <row r="120" spans="1:3" x14ac:dyDescent="0.3">
      <c r="A120" s="1">
        <v>334302.5</v>
      </c>
      <c r="B120" s="1">
        <v>327480</v>
      </c>
      <c r="C120" s="1">
        <v>6822.5</v>
      </c>
    </row>
    <row r="121" spans="1:3" x14ac:dyDescent="0.3">
      <c r="A121" s="1">
        <v>28297.5</v>
      </c>
      <c r="B121" s="1">
        <v>19250</v>
      </c>
      <c r="C121" s="1">
        <v>9047.5</v>
      </c>
    </row>
    <row r="122" spans="1:3" x14ac:dyDescent="0.3">
      <c r="A122" s="1">
        <v>13809.18</v>
      </c>
      <c r="B122" s="1">
        <v>10065</v>
      </c>
      <c r="C122" s="1">
        <v>3744.1800000000003</v>
      </c>
    </row>
    <row r="123" spans="1:3" x14ac:dyDescent="0.3">
      <c r="A123" s="1">
        <v>12406.8</v>
      </c>
      <c r="B123" s="1">
        <v>3165</v>
      </c>
      <c r="C123" s="1">
        <v>9241.7999999999993</v>
      </c>
    </row>
    <row r="124" spans="1:3" x14ac:dyDescent="0.3">
      <c r="A124" s="1">
        <v>12747.84</v>
      </c>
      <c r="B124" s="1">
        <v>3252</v>
      </c>
      <c r="C124" s="1">
        <v>9495.84</v>
      </c>
    </row>
    <row r="125" spans="1:3" x14ac:dyDescent="0.3">
      <c r="A125" s="1">
        <v>30693.599999999999</v>
      </c>
      <c r="B125" s="1">
        <v>15660</v>
      </c>
      <c r="C125" s="1">
        <v>15033.599999999999</v>
      </c>
    </row>
    <row r="126" spans="1:3" x14ac:dyDescent="0.3">
      <c r="A126" s="1">
        <v>1017338</v>
      </c>
      <c r="B126" s="1">
        <v>771160</v>
      </c>
      <c r="C126" s="1">
        <v>246178</v>
      </c>
    </row>
    <row r="127" spans="1:3" x14ac:dyDescent="0.3">
      <c r="A127" s="1">
        <v>986811</v>
      </c>
      <c r="B127" s="1">
        <v>748020</v>
      </c>
      <c r="C127" s="1">
        <v>238791</v>
      </c>
    </row>
    <row r="128" spans="1:3" x14ac:dyDescent="0.3">
      <c r="A128" s="1">
        <v>99102.5</v>
      </c>
      <c r="B128" s="1">
        <v>97080</v>
      </c>
      <c r="C128" s="1">
        <v>2022.5</v>
      </c>
    </row>
    <row r="129" spans="1:3" x14ac:dyDescent="0.3">
      <c r="A129" s="1">
        <v>262762.5</v>
      </c>
      <c r="B129" s="1">
        <v>257400</v>
      </c>
      <c r="C129" s="1">
        <v>5362.5</v>
      </c>
    </row>
    <row r="130" spans="1:3" x14ac:dyDescent="0.3">
      <c r="A130" s="1">
        <v>12406.8</v>
      </c>
      <c r="B130" s="1">
        <v>3165</v>
      </c>
      <c r="C130" s="1">
        <v>9241.7999999999993</v>
      </c>
    </row>
    <row r="131" spans="1:3" x14ac:dyDescent="0.3">
      <c r="A131" s="1">
        <v>10662.4</v>
      </c>
      <c r="B131" s="1">
        <v>5440</v>
      </c>
      <c r="C131" s="1">
        <v>5222.3999999999996</v>
      </c>
    </row>
    <row r="132" spans="1:3" x14ac:dyDescent="0.3">
      <c r="A132" s="1">
        <v>12747.84</v>
      </c>
      <c r="B132" s="1">
        <v>3252</v>
      </c>
      <c r="C132" s="1">
        <v>9495.84</v>
      </c>
    </row>
    <row r="133" spans="1:3" x14ac:dyDescent="0.3">
      <c r="A133" s="1">
        <v>81095</v>
      </c>
      <c r="B133" s="1">
        <v>79440</v>
      </c>
      <c r="C133" s="1">
        <v>1655</v>
      </c>
    </row>
    <row r="134" spans="1:3" x14ac:dyDescent="0.3">
      <c r="A134" s="1">
        <v>62916</v>
      </c>
      <c r="B134" s="1">
        <v>53500</v>
      </c>
      <c r="C134" s="1">
        <v>9416</v>
      </c>
    </row>
    <row r="135" spans="1:3" x14ac:dyDescent="0.3">
      <c r="A135" s="1">
        <v>986811</v>
      </c>
      <c r="B135" s="1">
        <v>748020</v>
      </c>
      <c r="C135" s="1">
        <v>238791</v>
      </c>
    </row>
    <row r="136" spans="1:3" x14ac:dyDescent="0.3">
      <c r="A136" s="1">
        <v>334302.5</v>
      </c>
      <c r="B136" s="1">
        <v>327480</v>
      </c>
      <c r="C136" s="1">
        <v>6822.5</v>
      </c>
    </row>
    <row r="137" spans="1:3" x14ac:dyDescent="0.3">
      <c r="A137" s="1">
        <v>91238</v>
      </c>
      <c r="B137" s="1">
        <v>69160</v>
      </c>
      <c r="C137" s="1">
        <v>22078</v>
      </c>
    </row>
    <row r="138" spans="1:3" x14ac:dyDescent="0.3">
      <c r="A138" s="1">
        <v>665420</v>
      </c>
      <c r="B138" s="1">
        <v>504400</v>
      </c>
      <c r="C138" s="1">
        <v>161020</v>
      </c>
    </row>
    <row r="139" spans="1:3" x14ac:dyDescent="0.3">
      <c r="A139" s="1">
        <v>76146</v>
      </c>
      <c r="B139" s="1">
        <v>64750</v>
      </c>
      <c r="C139" s="1">
        <v>11396</v>
      </c>
    </row>
    <row r="140" spans="1:3" x14ac:dyDescent="0.3">
      <c r="A140" s="1">
        <v>323694</v>
      </c>
      <c r="B140" s="1">
        <v>275250</v>
      </c>
      <c r="C140" s="1">
        <v>48444</v>
      </c>
    </row>
    <row r="141" spans="1:3" x14ac:dyDescent="0.3">
      <c r="A141" s="1">
        <v>278810</v>
      </c>
      <c r="B141" s="1">
        <v>273120</v>
      </c>
      <c r="C141" s="1">
        <v>5690</v>
      </c>
    </row>
    <row r="142" spans="1:3" x14ac:dyDescent="0.3">
      <c r="A142" s="1">
        <v>1017338</v>
      </c>
      <c r="B142" s="1">
        <v>771160</v>
      </c>
      <c r="C142" s="1">
        <v>246178</v>
      </c>
    </row>
    <row r="143" spans="1:3" x14ac:dyDescent="0.3">
      <c r="A143" s="1">
        <v>24225.599999999999</v>
      </c>
      <c r="B143" s="1">
        <v>12360</v>
      </c>
      <c r="C143" s="1">
        <v>11865.599999999999</v>
      </c>
    </row>
    <row r="144" spans="1:3" x14ac:dyDescent="0.3">
      <c r="A144" s="1">
        <v>18443.599999999999</v>
      </c>
      <c r="B144" s="1">
        <v>9410</v>
      </c>
      <c r="C144" s="1">
        <v>9033.5999999999985</v>
      </c>
    </row>
    <row r="145" spans="1:3" x14ac:dyDescent="0.3">
      <c r="A145" s="1">
        <v>563304</v>
      </c>
      <c r="B145" s="1">
        <v>479000</v>
      </c>
      <c r="C145" s="1">
        <v>84304</v>
      </c>
    </row>
    <row r="146" spans="1:3" x14ac:dyDescent="0.3">
      <c r="A146" s="1">
        <v>514524.375</v>
      </c>
      <c r="B146" s="1">
        <v>509220</v>
      </c>
      <c r="C146" s="1">
        <v>5304.375</v>
      </c>
    </row>
    <row r="147" spans="1:3" x14ac:dyDescent="0.3">
      <c r="A147" s="1">
        <v>50052</v>
      </c>
      <c r="B147" s="1">
        <v>25800</v>
      </c>
      <c r="C147" s="1">
        <v>24252</v>
      </c>
    </row>
    <row r="148" spans="1:3" x14ac:dyDescent="0.3">
      <c r="A148" s="1">
        <v>200499</v>
      </c>
      <c r="B148" s="1">
        <v>172250</v>
      </c>
      <c r="C148" s="1">
        <v>28249</v>
      </c>
    </row>
    <row r="149" spans="1:3" x14ac:dyDescent="0.3">
      <c r="A149" s="1">
        <v>22663.08</v>
      </c>
      <c r="B149" s="1">
        <v>5841</v>
      </c>
      <c r="C149" s="1">
        <v>16822.080000000002</v>
      </c>
    </row>
    <row r="150" spans="1:3" x14ac:dyDescent="0.3">
      <c r="A150" s="1">
        <v>10569.12</v>
      </c>
      <c r="B150" s="1">
        <v>2724</v>
      </c>
      <c r="C150" s="1">
        <v>7845.1200000000008</v>
      </c>
    </row>
    <row r="151" spans="1:3" x14ac:dyDescent="0.3">
      <c r="A151" s="1">
        <v>13294.82</v>
      </c>
      <c r="B151" s="1">
        <v>9790</v>
      </c>
      <c r="C151" s="1">
        <v>3504.8199999999997</v>
      </c>
    </row>
    <row r="152" spans="1:3" x14ac:dyDescent="0.3">
      <c r="A152" s="1">
        <v>22127.64</v>
      </c>
      <c r="B152" s="1">
        <v>5703</v>
      </c>
      <c r="C152" s="1">
        <v>16424.64</v>
      </c>
    </row>
    <row r="153" spans="1:3" x14ac:dyDescent="0.3">
      <c r="A153" s="1">
        <v>3693.76</v>
      </c>
      <c r="B153" s="1">
        <v>2720</v>
      </c>
      <c r="C153" s="1">
        <v>973.76000000000022</v>
      </c>
    </row>
    <row r="154" spans="1:3" x14ac:dyDescent="0.3">
      <c r="A154" s="1">
        <v>610081.5</v>
      </c>
      <c r="B154" s="1">
        <v>467220</v>
      </c>
      <c r="C154" s="1">
        <v>142861.5</v>
      </c>
    </row>
    <row r="155" spans="1:3" x14ac:dyDescent="0.3">
      <c r="A155" s="1">
        <v>156048.75</v>
      </c>
      <c r="B155" s="1">
        <v>154440</v>
      </c>
      <c r="C155" s="1">
        <v>1608.75</v>
      </c>
    </row>
    <row r="156" spans="1:3" x14ac:dyDescent="0.3">
      <c r="A156" s="1">
        <v>206852.5</v>
      </c>
      <c r="B156" s="1">
        <v>204720</v>
      </c>
      <c r="C156" s="1">
        <v>2132.5</v>
      </c>
    </row>
    <row r="157" spans="1:3" x14ac:dyDescent="0.3">
      <c r="A157" s="1">
        <v>708439.5</v>
      </c>
      <c r="B157" s="1">
        <v>608625</v>
      </c>
      <c r="C157" s="1">
        <v>99814.5</v>
      </c>
    </row>
    <row r="158" spans="1:3" x14ac:dyDescent="0.3">
      <c r="A158" s="1">
        <v>215097.5</v>
      </c>
      <c r="B158" s="1">
        <v>212880</v>
      </c>
      <c r="C158" s="1">
        <v>2217.5</v>
      </c>
    </row>
    <row r="159" spans="1:3" x14ac:dyDescent="0.3">
      <c r="A159" s="1">
        <v>22127.64</v>
      </c>
      <c r="B159" s="1">
        <v>5703</v>
      </c>
      <c r="C159" s="1">
        <v>16424.64</v>
      </c>
    </row>
    <row r="160" spans="1:3" x14ac:dyDescent="0.3">
      <c r="A160" s="1">
        <v>200499</v>
      </c>
      <c r="B160" s="1">
        <v>172250</v>
      </c>
      <c r="C160" s="1">
        <v>28249</v>
      </c>
    </row>
    <row r="161" spans="1:3" x14ac:dyDescent="0.3">
      <c r="A161" s="1">
        <v>190362.5</v>
      </c>
      <c r="B161" s="1">
        <v>188400</v>
      </c>
      <c r="C161" s="1">
        <v>1962.5</v>
      </c>
    </row>
    <row r="162" spans="1:3" x14ac:dyDescent="0.3">
      <c r="A162" s="1">
        <v>15940.98</v>
      </c>
      <c r="B162" s="1">
        <v>4108.5</v>
      </c>
      <c r="C162" s="1">
        <v>11832.48</v>
      </c>
    </row>
    <row r="163" spans="1:3" x14ac:dyDescent="0.3">
      <c r="A163" s="1">
        <v>243591.25</v>
      </c>
      <c r="B163" s="1">
        <v>241080</v>
      </c>
      <c r="C163" s="1">
        <v>2511.25</v>
      </c>
    </row>
    <row r="164" spans="1:3" x14ac:dyDescent="0.3">
      <c r="A164" s="1">
        <v>28299.75</v>
      </c>
      <c r="B164" s="1">
        <v>19450</v>
      </c>
      <c r="C164" s="1">
        <v>8849.75</v>
      </c>
    </row>
    <row r="165" spans="1:3" x14ac:dyDescent="0.3">
      <c r="A165" s="1">
        <v>156048.75</v>
      </c>
      <c r="B165" s="1">
        <v>154440</v>
      </c>
      <c r="C165" s="1">
        <v>1608.75</v>
      </c>
    </row>
    <row r="166" spans="1:3" x14ac:dyDescent="0.3">
      <c r="A166" s="1">
        <v>206852.5</v>
      </c>
      <c r="B166" s="1">
        <v>204720</v>
      </c>
      <c r="C166" s="1">
        <v>2132.5</v>
      </c>
    </row>
    <row r="167" spans="1:3" x14ac:dyDescent="0.3">
      <c r="A167" s="1">
        <v>243591.25</v>
      </c>
      <c r="B167" s="1">
        <v>241080</v>
      </c>
      <c r="C167" s="1">
        <v>2511.25</v>
      </c>
    </row>
    <row r="168" spans="1:3" x14ac:dyDescent="0.3">
      <c r="A168" s="1">
        <v>827604</v>
      </c>
      <c r="B168" s="1">
        <v>711000</v>
      </c>
      <c r="C168" s="1">
        <v>116604</v>
      </c>
    </row>
    <row r="169" spans="1:3" x14ac:dyDescent="0.3">
      <c r="A169" s="1">
        <v>22302.240000000002</v>
      </c>
      <c r="B169" s="1">
        <v>5748</v>
      </c>
      <c r="C169" s="1">
        <v>16554.240000000002</v>
      </c>
    </row>
    <row r="170" spans="1:3" x14ac:dyDescent="0.3">
      <c r="A170" s="1">
        <v>190362.5</v>
      </c>
      <c r="B170" s="1">
        <v>188400</v>
      </c>
      <c r="C170" s="1">
        <v>1962.5</v>
      </c>
    </row>
    <row r="171" spans="1:3" x14ac:dyDescent="0.3">
      <c r="A171" s="1">
        <v>545334</v>
      </c>
      <c r="B171" s="1">
        <v>468500</v>
      </c>
      <c r="C171" s="1">
        <v>76834</v>
      </c>
    </row>
    <row r="172" spans="1:3" x14ac:dyDescent="0.3">
      <c r="A172" s="1">
        <v>557459</v>
      </c>
      <c r="B172" s="1">
        <v>426920</v>
      </c>
      <c r="C172" s="1">
        <v>130539</v>
      </c>
    </row>
    <row r="173" spans="1:3" x14ac:dyDescent="0.3">
      <c r="A173" s="1">
        <v>28299.75</v>
      </c>
      <c r="B173" s="1">
        <v>19450</v>
      </c>
      <c r="C173" s="1">
        <v>8849.75</v>
      </c>
    </row>
    <row r="174" spans="1:3" x14ac:dyDescent="0.3">
      <c r="A174" s="1">
        <v>16121.4</v>
      </c>
      <c r="B174" s="1">
        <v>8310</v>
      </c>
      <c r="C174" s="1">
        <v>7811.4</v>
      </c>
    </row>
    <row r="175" spans="1:3" x14ac:dyDescent="0.3">
      <c r="A175" s="1">
        <v>11950.4</v>
      </c>
      <c r="B175" s="1">
        <v>8800</v>
      </c>
      <c r="C175" s="1">
        <v>3150.3999999999996</v>
      </c>
    </row>
    <row r="176" spans="1:3" x14ac:dyDescent="0.3">
      <c r="A176" s="1">
        <v>74699.700000000012</v>
      </c>
      <c r="B176" s="1">
        <v>38505</v>
      </c>
      <c r="C176" s="1">
        <v>36194.700000000004</v>
      </c>
    </row>
    <row r="177" spans="1:3" x14ac:dyDescent="0.3">
      <c r="A177" s="1">
        <v>28855.56</v>
      </c>
      <c r="B177" s="1">
        <v>7437</v>
      </c>
      <c r="C177" s="1">
        <v>21418.560000000001</v>
      </c>
    </row>
    <row r="178" spans="1:3" x14ac:dyDescent="0.3">
      <c r="A178" s="1">
        <v>29246.400000000001</v>
      </c>
      <c r="B178" s="1">
        <v>20310</v>
      </c>
      <c r="C178" s="1">
        <v>8936.4000000000015</v>
      </c>
    </row>
    <row r="179" spans="1:3" x14ac:dyDescent="0.3">
      <c r="A179" s="1">
        <v>29246.400000000001</v>
      </c>
      <c r="B179" s="1">
        <v>20310</v>
      </c>
      <c r="C179" s="1">
        <v>8936.4000000000015</v>
      </c>
    </row>
    <row r="180" spans="1:3" x14ac:dyDescent="0.3">
      <c r="A180" s="1">
        <v>32558.400000000001</v>
      </c>
      <c r="B180" s="1">
        <v>22610</v>
      </c>
      <c r="C180" s="1">
        <v>9948.4000000000015</v>
      </c>
    </row>
    <row r="181" spans="1:3" x14ac:dyDescent="0.3">
      <c r="A181" s="1">
        <v>14131.2</v>
      </c>
      <c r="B181" s="1">
        <v>7360</v>
      </c>
      <c r="C181" s="1">
        <v>6771.2000000000007</v>
      </c>
    </row>
    <row r="182" spans="1:3" x14ac:dyDescent="0.3">
      <c r="A182" s="1">
        <v>19158.72</v>
      </c>
      <c r="B182" s="1">
        <v>14255</v>
      </c>
      <c r="C182" s="1">
        <v>4903.7200000000012</v>
      </c>
    </row>
    <row r="183" spans="1:3" x14ac:dyDescent="0.3">
      <c r="A183" s="1">
        <v>582048</v>
      </c>
      <c r="B183" s="1">
        <v>505250</v>
      </c>
      <c r="C183" s="1">
        <v>76798</v>
      </c>
    </row>
    <row r="184" spans="1:3" x14ac:dyDescent="0.3">
      <c r="A184" s="1">
        <v>92064</v>
      </c>
      <c r="B184" s="1">
        <v>71240</v>
      </c>
      <c r="C184" s="1">
        <v>20824</v>
      </c>
    </row>
    <row r="185" spans="1:3" x14ac:dyDescent="0.3">
      <c r="A185" s="1">
        <v>28324.799999999999</v>
      </c>
      <c r="B185" s="1">
        <v>19670</v>
      </c>
      <c r="C185" s="1">
        <v>8654.7999999999993</v>
      </c>
    </row>
    <row r="186" spans="1:3" x14ac:dyDescent="0.3">
      <c r="A186" s="1">
        <v>535392</v>
      </c>
      <c r="B186" s="1">
        <v>464750</v>
      </c>
      <c r="C186" s="1">
        <v>70642</v>
      </c>
    </row>
    <row r="187" spans="1:3" x14ac:dyDescent="0.3">
      <c r="A187" s="1">
        <v>19158.72</v>
      </c>
      <c r="B187" s="1">
        <v>14255</v>
      </c>
      <c r="C187" s="1">
        <v>4903.7200000000012</v>
      </c>
    </row>
    <row r="188" spans="1:3" x14ac:dyDescent="0.3">
      <c r="A188" s="1">
        <v>582048</v>
      </c>
      <c r="B188" s="1">
        <v>505250</v>
      </c>
      <c r="C188" s="1">
        <v>76798</v>
      </c>
    </row>
    <row r="189" spans="1:3" x14ac:dyDescent="0.3">
      <c r="A189" s="1">
        <v>136560</v>
      </c>
      <c r="B189" s="1">
        <v>136560</v>
      </c>
      <c r="C189" s="1">
        <v>0</v>
      </c>
    </row>
    <row r="190" spans="1:3" x14ac:dyDescent="0.3">
      <c r="A190" s="1">
        <v>28566.720000000001</v>
      </c>
      <c r="B190" s="1">
        <v>21255</v>
      </c>
      <c r="C190" s="1">
        <v>7311.7199999999993</v>
      </c>
    </row>
    <row r="191" spans="1:3" x14ac:dyDescent="0.3">
      <c r="A191" s="1">
        <v>95400</v>
      </c>
      <c r="B191" s="1">
        <v>95400</v>
      </c>
      <c r="C191" s="1">
        <v>0</v>
      </c>
    </row>
    <row r="192" spans="1:3" x14ac:dyDescent="0.3">
      <c r="A192" s="1">
        <v>407376</v>
      </c>
      <c r="B192" s="1">
        <v>353625</v>
      </c>
      <c r="C192" s="1">
        <v>53751</v>
      </c>
    </row>
    <row r="193" spans="1:3" x14ac:dyDescent="0.3">
      <c r="A193" s="1">
        <v>840384</v>
      </c>
      <c r="B193" s="1">
        <v>729500</v>
      </c>
      <c r="C193" s="1">
        <v>110884</v>
      </c>
    </row>
    <row r="194" spans="1:3" x14ac:dyDescent="0.3">
      <c r="A194" s="1">
        <v>1159200</v>
      </c>
      <c r="B194" s="1">
        <v>897000</v>
      </c>
      <c r="C194" s="1">
        <v>262200</v>
      </c>
    </row>
    <row r="195" spans="1:3" x14ac:dyDescent="0.3">
      <c r="A195" s="1">
        <v>358560</v>
      </c>
      <c r="B195" s="1">
        <v>358560</v>
      </c>
      <c r="C195" s="1">
        <v>0</v>
      </c>
    </row>
    <row r="196" spans="1:3" x14ac:dyDescent="0.3">
      <c r="A196" s="1">
        <v>3139.2</v>
      </c>
      <c r="B196" s="1">
        <v>2180</v>
      </c>
      <c r="C196" s="1">
        <v>959.19999999999982</v>
      </c>
    </row>
    <row r="197" spans="1:3" x14ac:dyDescent="0.3">
      <c r="A197" s="1">
        <v>39820.800000000003</v>
      </c>
      <c r="B197" s="1">
        <v>20740</v>
      </c>
      <c r="C197" s="1">
        <v>19080.800000000003</v>
      </c>
    </row>
    <row r="198" spans="1:3" x14ac:dyDescent="0.3">
      <c r="A198" s="1">
        <v>20275.2</v>
      </c>
      <c r="B198" s="1">
        <v>10560</v>
      </c>
      <c r="C198" s="1">
        <v>9715.2000000000007</v>
      </c>
    </row>
    <row r="199" spans="1:3" x14ac:dyDescent="0.3">
      <c r="A199" s="1">
        <v>9662.4</v>
      </c>
      <c r="B199" s="1">
        <v>6710</v>
      </c>
      <c r="C199" s="1">
        <v>2952.3999999999996</v>
      </c>
    </row>
    <row r="200" spans="1:3" x14ac:dyDescent="0.3">
      <c r="A200" s="1">
        <v>21801.599999999999</v>
      </c>
      <c r="B200" s="1">
        <v>15140</v>
      </c>
      <c r="C200" s="1">
        <v>6661.5999999999985</v>
      </c>
    </row>
    <row r="201" spans="1:3" x14ac:dyDescent="0.3">
      <c r="A201" s="1">
        <v>92064</v>
      </c>
      <c r="B201" s="1">
        <v>71240</v>
      </c>
      <c r="C201" s="1">
        <v>20824</v>
      </c>
    </row>
    <row r="202" spans="1:3" x14ac:dyDescent="0.3">
      <c r="A202" s="1">
        <v>136560</v>
      </c>
      <c r="B202" s="1">
        <v>136560</v>
      </c>
      <c r="C202" s="1">
        <v>0</v>
      </c>
    </row>
    <row r="203" spans="1:3" x14ac:dyDescent="0.3">
      <c r="A203" s="1">
        <v>16876.8</v>
      </c>
      <c r="B203" s="1">
        <v>4395</v>
      </c>
      <c r="C203" s="1">
        <v>12481.8</v>
      </c>
    </row>
    <row r="204" spans="1:3" x14ac:dyDescent="0.3">
      <c r="A204" s="1">
        <v>50803.199999999997</v>
      </c>
      <c r="B204" s="1">
        <v>26460</v>
      </c>
      <c r="C204" s="1">
        <v>24343.199999999997</v>
      </c>
    </row>
    <row r="205" spans="1:3" x14ac:dyDescent="0.3">
      <c r="A205" s="1">
        <v>731472</v>
      </c>
      <c r="B205" s="1">
        <v>566020</v>
      </c>
      <c r="C205" s="1">
        <v>165452</v>
      </c>
    </row>
    <row r="206" spans="1:3" x14ac:dyDescent="0.3">
      <c r="A206" s="1">
        <v>9976.32</v>
      </c>
      <c r="B206" s="1">
        <v>2598</v>
      </c>
      <c r="C206" s="1">
        <v>7378.32</v>
      </c>
    </row>
    <row r="207" spans="1:3" x14ac:dyDescent="0.3">
      <c r="A207" s="1">
        <v>117264</v>
      </c>
      <c r="B207" s="1">
        <v>90740</v>
      </c>
      <c r="C207" s="1">
        <v>26524</v>
      </c>
    </row>
    <row r="208" spans="1:3" x14ac:dyDescent="0.3">
      <c r="A208" s="1">
        <v>731472</v>
      </c>
      <c r="B208" s="1">
        <v>566020</v>
      </c>
      <c r="C208" s="1">
        <v>165452</v>
      </c>
    </row>
    <row r="209" spans="1:3" x14ac:dyDescent="0.3">
      <c r="A209" s="1">
        <v>21801.599999999999</v>
      </c>
      <c r="B209" s="1">
        <v>15140</v>
      </c>
      <c r="C209" s="1">
        <v>6661.5999999999985</v>
      </c>
    </row>
    <row r="210" spans="1:3" x14ac:dyDescent="0.3">
      <c r="A210" s="1">
        <v>626640</v>
      </c>
      <c r="B210" s="1">
        <v>484900</v>
      </c>
      <c r="C210" s="1">
        <v>141740</v>
      </c>
    </row>
    <row r="211" spans="1:3" x14ac:dyDescent="0.3">
      <c r="A211" s="1">
        <v>128880</v>
      </c>
      <c r="B211" s="1">
        <v>128880</v>
      </c>
      <c r="C211" s="1">
        <v>0</v>
      </c>
    </row>
    <row r="212" spans="1:3" x14ac:dyDescent="0.3">
      <c r="A212" s="1">
        <v>640752</v>
      </c>
      <c r="B212" s="1">
        <v>495820</v>
      </c>
      <c r="C212" s="1">
        <v>144932</v>
      </c>
    </row>
    <row r="213" spans="1:3" x14ac:dyDescent="0.3">
      <c r="A213" s="1">
        <v>9662.4</v>
      </c>
      <c r="B213" s="1">
        <v>6710</v>
      </c>
      <c r="C213" s="1">
        <v>2952.3999999999996</v>
      </c>
    </row>
    <row r="214" spans="1:3" x14ac:dyDescent="0.3">
      <c r="A214" s="1">
        <v>597408</v>
      </c>
      <c r="B214" s="1">
        <v>462280</v>
      </c>
      <c r="C214" s="1">
        <v>135128</v>
      </c>
    </row>
    <row r="215" spans="1:3" x14ac:dyDescent="0.3">
      <c r="A215" s="1">
        <v>7707.35</v>
      </c>
      <c r="B215" s="1">
        <v>5795</v>
      </c>
      <c r="C215" s="1">
        <v>1912.3500000000004</v>
      </c>
    </row>
    <row r="216" spans="1:3" x14ac:dyDescent="0.3">
      <c r="A216" s="1">
        <v>9123.7999999999993</v>
      </c>
      <c r="B216" s="1">
        <v>6860</v>
      </c>
      <c r="C216" s="1">
        <v>2263.7999999999993</v>
      </c>
    </row>
    <row r="217" spans="1:3" x14ac:dyDescent="0.3">
      <c r="A217" s="1">
        <v>15620.85</v>
      </c>
      <c r="B217" s="1">
        <v>11745</v>
      </c>
      <c r="C217" s="1">
        <v>3875.8500000000004</v>
      </c>
    </row>
    <row r="218" spans="1:3" x14ac:dyDescent="0.3">
      <c r="A218" s="1">
        <v>17881.849999999999</v>
      </c>
      <c r="B218" s="1">
        <v>13445</v>
      </c>
      <c r="C218" s="1">
        <v>4436.8499999999985</v>
      </c>
    </row>
    <row r="219" spans="1:3" x14ac:dyDescent="0.3">
      <c r="A219" s="1">
        <v>27713.4</v>
      </c>
      <c r="B219" s="1">
        <v>7293</v>
      </c>
      <c r="C219" s="1">
        <v>20420.400000000001</v>
      </c>
    </row>
    <row r="220" spans="1:3" x14ac:dyDescent="0.3">
      <c r="A220" s="1">
        <v>27713.4</v>
      </c>
      <c r="B220" s="1">
        <v>7293</v>
      </c>
      <c r="C220" s="1">
        <v>20420.400000000001</v>
      </c>
    </row>
    <row r="221" spans="1:3" x14ac:dyDescent="0.3">
      <c r="A221" s="1">
        <v>17881.849999999999</v>
      </c>
      <c r="B221" s="1">
        <v>13445</v>
      </c>
      <c r="C221" s="1">
        <v>4436.8499999999985</v>
      </c>
    </row>
    <row r="222" spans="1:3" x14ac:dyDescent="0.3">
      <c r="A222" s="1">
        <v>11191.95</v>
      </c>
      <c r="B222" s="1">
        <v>8415</v>
      </c>
      <c r="C222" s="1">
        <v>2776.9500000000007</v>
      </c>
    </row>
    <row r="223" spans="1:3" x14ac:dyDescent="0.3">
      <c r="A223" s="1">
        <v>12802.2</v>
      </c>
      <c r="B223" s="1">
        <v>3369</v>
      </c>
      <c r="C223" s="1">
        <v>9433.2000000000007</v>
      </c>
    </row>
    <row r="224" spans="1:3" x14ac:dyDescent="0.3">
      <c r="A224" s="1">
        <v>7707.35</v>
      </c>
      <c r="B224" s="1">
        <v>5795</v>
      </c>
      <c r="C224" s="1">
        <v>1912.3500000000004</v>
      </c>
    </row>
    <row r="225" spans="1:3" x14ac:dyDescent="0.3">
      <c r="A225" s="1">
        <v>21261</v>
      </c>
      <c r="B225" s="1">
        <v>5595</v>
      </c>
      <c r="C225" s="1">
        <v>15666</v>
      </c>
    </row>
    <row r="226" spans="1:3" x14ac:dyDescent="0.3">
      <c r="A226" s="1">
        <v>12722.4</v>
      </c>
      <c r="B226" s="1">
        <v>3348</v>
      </c>
      <c r="C226" s="1">
        <v>9374.4</v>
      </c>
    </row>
    <row r="227" spans="1:3" x14ac:dyDescent="0.3">
      <c r="A227" s="1">
        <v>29697</v>
      </c>
      <c r="B227" s="1">
        <v>15630</v>
      </c>
      <c r="C227" s="1">
        <v>14067</v>
      </c>
    </row>
    <row r="228" spans="1:3" x14ac:dyDescent="0.3">
      <c r="A228" s="1">
        <v>282435</v>
      </c>
      <c r="B228" s="1">
        <v>247750</v>
      </c>
      <c r="C228" s="1">
        <v>34685</v>
      </c>
    </row>
    <row r="229" spans="1:3" x14ac:dyDescent="0.3">
      <c r="A229" s="1">
        <v>6756.4</v>
      </c>
      <c r="B229" s="1">
        <v>5080</v>
      </c>
      <c r="C229" s="1">
        <v>1676.3999999999996</v>
      </c>
    </row>
    <row r="230" spans="1:3" x14ac:dyDescent="0.3">
      <c r="A230" s="1">
        <v>39771.75</v>
      </c>
      <c r="B230" s="1">
        <v>27910</v>
      </c>
      <c r="C230" s="1">
        <v>11861.75</v>
      </c>
    </row>
    <row r="231" spans="1:3" x14ac:dyDescent="0.3">
      <c r="A231" s="1">
        <v>3790.5</v>
      </c>
      <c r="B231" s="1">
        <v>2850</v>
      </c>
      <c r="C231" s="1">
        <v>940.5</v>
      </c>
    </row>
    <row r="232" spans="1:3" x14ac:dyDescent="0.3">
      <c r="A232" s="1">
        <v>16538.55</v>
      </c>
      <c r="B232" s="1">
        <v>12435</v>
      </c>
      <c r="C232" s="1">
        <v>4103.5499999999993</v>
      </c>
    </row>
    <row r="233" spans="1:3" x14ac:dyDescent="0.3">
      <c r="A233" s="1">
        <v>460346.25</v>
      </c>
      <c r="B233" s="1">
        <v>359970</v>
      </c>
      <c r="C233" s="1">
        <v>100376.25</v>
      </c>
    </row>
    <row r="234" spans="1:3" x14ac:dyDescent="0.3">
      <c r="A234" s="1">
        <v>430706.25</v>
      </c>
      <c r="B234" s="1">
        <v>435240</v>
      </c>
      <c r="C234" s="1">
        <v>-4533.75</v>
      </c>
    </row>
    <row r="235" spans="1:3" x14ac:dyDescent="0.3">
      <c r="A235" s="1">
        <v>239400</v>
      </c>
      <c r="B235" s="1">
        <v>187200</v>
      </c>
      <c r="C235" s="1">
        <v>52200</v>
      </c>
    </row>
    <row r="236" spans="1:3" x14ac:dyDescent="0.3">
      <c r="A236" s="1">
        <v>26698.799999999999</v>
      </c>
      <c r="B236" s="1">
        <v>7026</v>
      </c>
      <c r="C236" s="1">
        <v>19672.8</v>
      </c>
    </row>
    <row r="237" spans="1:3" x14ac:dyDescent="0.3">
      <c r="A237" s="1">
        <v>313500</v>
      </c>
      <c r="B237" s="1">
        <v>275000</v>
      </c>
      <c r="C237" s="1">
        <v>38500</v>
      </c>
    </row>
    <row r="238" spans="1:3" x14ac:dyDescent="0.3">
      <c r="A238" s="1">
        <v>24757</v>
      </c>
      <c r="B238" s="1">
        <v>13030</v>
      </c>
      <c r="C238" s="1">
        <v>11727</v>
      </c>
    </row>
    <row r="239" spans="1:3" x14ac:dyDescent="0.3">
      <c r="A239" s="1">
        <v>355300</v>
      </c>
      <c r="B239" s="1">
        <v>359040</v>
      </c>
      <c r="C239" s="1">
        <v>-3740</v>
      </c>
    </row>
    <row r="240" spans="1:3" x14ac:dyDescent="0.3">
      <c r="A240" s="1">
        <v>283218.75</v>
      </c>
      <c r="B240" s="1">
        <v>286200</v>
      </c>
      <c r="C240" s="1">
        <v>-2981.25</v>
      </c>
    </row>
    <row r="241" spans="1:3" x14ac:dyDescent="0.3">
      <c r="A241" s="1">
        <v>457995</v>
      </c>
      <c r="B241" s="1">
        <v>401750</v>
      </c>
      <c r="C241" s="1">
        <v>56245</v>
      </c>
    </row>
    <row r="242" spans="1:3" x14ac:dyDescent="0.3">
      <c r="A242" s="1">
        <v>15474.55</v>
      </c>
      <c r="B242" s="1">
        <v>11635</v>
      </c>
      <c r="C242" s="1">
        <v>3839.5499999999993</v>
      </c>
    </row>
    <row r="243" spans="1:3" x14ac:dyDescent="0.3">
      <c r="A243" s="1">
        <v>282435</v>
      </c>
      <c r="B243" s="1">
        <v>247750</v>
      </c>
      <c r="C243" s="1">
        <v>34685</v>
      </c>
    </row>
    <row r="244" spans="1:3" x14ac:dyDescent="0.3">
      <c r="A244" s="1">
        <v>200165</v>
      </c>
      <c r="B244" s="1">
        <v>156520</v>
      </c>
      <c r="C244" s="1">
        <v>43645</v>
      </c>
    </row>
    <row r="245" spans="1:3" x14ac:dyDescent="0.3">
      <c r="A245" s="1">
        <v>37335</v>
      </c>
      <c r="B245" s="1">
        <v>26200</v>
      </c>
      <c r="C245" s="1">
        <v>11135</v>
      </c>
    </row>
    <row r="246" spans="1:3" x14ac:dyDescent="0.3">
      <c r="A246" s="1">
        <v>408310</v>
      </c>
      <c r="B246" s="1">
        <v>319280</v>
      </c>
      <c r="C246" s="1">
        <v>89030</v>
      </c>
    </row>
    <row r="247" spans="1:3" x14ac:dyDescent="0.3">
      <c r="A247" s="1">
        <v>26391</v>
      </c>
      <c r="B247" s="1">
        <v>13890</v>
      </c>
      <c r="C247" s="1">
        <v>12501</v>
      </c>
    </row>
    <row r="248" spans="1:3" x14ac:dyDescent="0.3">
      <c r="A248" s="1">
        <v>102243.75</v>
      </c>
      <c r="B248" s="1">
        <v>103320</v>
      </c>
      <c r="C248" s="1">
        <v>-1076.25</v>
      </c>
    </row>
    <row r="249" spans="1:3" x14ac:dyDescent="0.3">
      <c r="A249" s="1">
        <v>83600</v>
      </c>
      <c r="B249" s="1">
        <v>84480</v>
      </c>
      <c r="C249" s="1">
        <v>-880</v>
      </c>
    </row>
    <row r="250" spans="1:3" x14ac:dyDescent="0.3">
      <c r="A250" s="1">
        <v>34238</v>
      </c>
      <c r="B250" s="1">
        <v>18020</v>
      </c>
      <c r="C250" s="1">
        <v>16218</v>
      </c>
    </row>
    <row r="251" spans="1:3" x14ac:dyDescent="0.3">
      <c r="A251" s="1">
        <v>50597</v>
      </c>
      <c r="B251" s="1">
        <v>26630</v>
      </c>
      <c r="C251" s="1">
        <v>23967</v>
      </c>
    </row>
    <row r="252" spans="1:3" x14ac:dyDescent="0.3">
      <c r="A252" s="1">
        <v>14204.4</v>
      </c>
      <c r="B252" s="1">
        <v>10680</v>
      </c>
      <c r="C252" s="1">
        <v>3524.3999999999996</v>
      </c>
    </row>
    <row r="253" spans="1:3" x14ac:dyDescent="0.3">
      <c r="A253" s="1">
        <v>30153</v>
      </c>
      <c r="B253" s="1">
        <v>21160</v>
      </c>
      <c r="C253" s="1">
        <v>8993</v>
      </c>
    </row>
    <row r="254" spans="1:3" x14ac:dyDescent="0.3">
      <c r="A254" s="1">
        <v>7908.75</v>
      </c>
      <c r="B254" s="1">
        <v>5550</v>
      </c>
      <c r="C254" s="1">
        <v>2358.75</v>
      </c>
    </row>
    <row r="255" spans="1:3" x14ac:dyDescent="0.3">
      <c r="A255" s="1">
        <v>40769.25</v>
      </c>
      <c r="B255" s="1">
        <v>28610</v>
      </c>
      <c r="C255" s="1">
        <v>12159.25</v>
      </c>
    </row>
    <row r="256" spans="1:3" x14ac:dyDescent="0.3">
      <c r="A256" s="1">
        <v>95831.25</v>
      </c>
      <c r="B256" s="1">
        <v>96840</v>
      </c>
      <c r="C256" s="1">
        <v>-1008.75</v>
      </c>
    </row>
    <row r="257" spans="1:3" x14ac:dyDescent="0.3">
      <c r="A257" s="1">
        <v>200165</v>
      </c>
      <c r="B257" s="1">
        <v>156520</v>
      </c>
      <c r="C257" s="1">
        <v>43645</v>
      </c>
    </row>
    <row r="258" spans="1:3" x14ac:dyDescent="0.3">
      <c r="A258" s="1">
        <v>53808</v>
      </c>
      <c r="B258" s="1">
        <v>28320</v>
      </c>
      <c r="C258" s="1">
        <v>25488</v>
      </c>
    </row>
    <row r="259" spans="1:3" x14ac:dyDescent="0.3">
      <c r="A259" s="1">
        <v>30001</v>
      </c>
      <c r="B259" s="1">
        <v>15790</v>
      </c>
      <c r="C259" s="1">
        <v>14211</v>
      </c>
    </row>
    <row r="260" spans="1:3" x14ac:dyDescent="0.3">
      <c r="A260" s="1">
        <v>102243.75</v>
      </c>
      <c r="B260" s="1">
        <v>103320</v>
      </c>
      <c r="C260" s="1">
        <v>-1076.25</v>
      </c>
    </row>
    <row r="261" spans="1:3" x14ac:dyDescent="0.3">
      <c r="A261" s="1">
        <v>83600</v>
      </c>
      <c r="B261" s="1">
        <v>84480</v>
      </c>
      <c r="C261" s="1">
        <v>-880</v>
      </c>
    </row>
    <row r="262" spans="1:3" x14ac:dyDescent="0.3">
      <c r="A262" s="1">
        <v>19627</v>
      </c>
      <c r="B262" s="1">
        <v>10330</v>
      </c>
      <c r="C262" s="1">
        <v>9297</v>
      </c>
    </row>
    <row r="263" spans="1:3" x14ac:dyDescent="0.3">
      <c r="A263" s="1">
        <v>356250</v>
      </c>
      <c r="B263" s="1">
        <v>312500</v>
      </c>
      <c r="C263" s="1">
        <v>43750</v>
      </c>
    </row>
    <row r="264" spans="1:3" x14ac:dyDescent="0.3">
      <c r="A264" s="1">
        <v>26391</v>
      </c>
      <c r="B264" s="1">
        <v>13890</v>
      </c>
      <c r="C264" s="1">
        <v>12501</v>
      </c>
    </row>
    <row r="265" spans="1:3" x14ac:dyDescent="0.3">
      <c r="A265" s="1">
        <v>24035</v>
      </c>
      <c r="B265" s="1">
        <v>12650</v>
      </c>
      <c r="C265" s="1">
        <v>11385</v>
      </c>
    </row>
    <row r="266" spans="1:3" x14ac:dyDescent="0.3">
      <c r="A266" s="1">
        <v>43643</v>
      </c>
      <c r="B266" s="1">
        <v>22970</v>
      </c>
      <c r="C266" s="1">
        <v>20673</v>
      </c>
    </row>
    <row r="267" spans="1:3" x14ac:dyDescent="0.3">
      <c r="A267" s="1">
        <v>50597</v>
      </c>
      <c r="B267" s="1">
        <v>26630</v>
      </c>
      <c r="C267" s="1">
        <v>23967</v>
      </c>
    </row>
    <row r="268" spans="1:3" x14ac:dyDescent="0.3">
      <c r="A268" s="1">
        <v>3790.5</v>
      </c>
      <c r="B268" s="1">
        <v>2850</v>
      </c>
      <c r="C268" s="1">
        <v>940.5</v>
      </c>
    </row>
    <row r="269" spans="1:3" x14ac:dyDescent="0.3">
      <c r="A269" s="1">
        <v>16538.55</v>
      </c>
      <c r="B269" s="1">
        <v>12435</v>
      </c>
      <c r="C269" s="1">
        <v>4103.5499999999993</v>
      </c>
    </row>
    <row r="270" spans="1:3" x14ac:dyDescent="0.3">
      <c r="A270" s="1">
        <v>448875</v>
      </c>
      <c r="B270" s="1">
        <v>351000</v>
      </c>
      <c r="C270" s="1">
        <v>97875</v>
      </c>
    </row>
    <row r="271" spans="1:3" x14ac:dyDescent="0.3">
      <c r="A271" s="1">
        <v>183540</v>
      </c>
      <c r="B271" s="1">
        <v>143520</v>
      </c>
      <c r="C271" s="1">
        <v>40020</v>
      </c>
    </row>
    <row r="272" spans="1:3" x14ac:dyDescent="0.3">
      <c r="A272" s="1">
        <v>408310</v>
      </c>
      <c r="B272" s="1">
        <v>319280</v>
      </c>
      <c r="C272" s="1">
        <v>89030</v>
      </c>
    </row>
    <row r="273" spans="1:3" x14ac:dyDescent="0.3">
      <c r="A273" s="1">
        <v>356250</v>
      </c>
      <c r="B273" s="1">
        <v>312500</v>
      </c>
      <c r="C273" s="1">
        <v>43750</v>
      </c>
    </row>
    <row r="274" spans="1:3" x14ac:dyDescent="0.3">
      <c r="A274" s="1">
        <v>53594.100000000006</v>
      </c>
      <c r="B274" s="1">
        <v>38010</v>
      </c>
      <c r="C274" s="1">
        <v>15584.100000000002</v>
      </c>
    </row>
    <row r="275" spans="1:3" x14ac:dyDescent="0.3">
      <c r="A275" s="1">
        <v>21009</v>
      </c>
      <c r="B275" s="1">
        <v>11175</v>
      </c>
      <c r="C275" s="1">
        <v>9834</v>
      </c>
    </row>
    <row r="276" spans="1:3" x14ac:dyDescent="0.3">
      <c r="A276" s="1">
        <v>40100.400000000001</v>
      </c>
      <c r="B276" s="1">
        <v>28440</v>
      </c>
      <c r="C276" s="1">
        <v>11660.400000000001</v>
      </c>
    </row>
    <row r="277" spans="1:3" x14ac:dyDescent="0.3">
      <c r="A277" s="1">
        <v>6339.36</v>
      </c>
      <c r="B277" s="1">
        <v>1686</v>
      </c>
      <c r="C277" s="1">
        <v>4653.3599999999997</v>
      </c>
    </row>
    <row r="278" spans="1:3" x14ac:dyDescent="0.3">
      <c r="A278" s="1">
        <v>25932.720000000001</v>
      </c>
      <c r="B278" s="1">
        <v>6897</v>
      </c>
      <c r="C278" s="1">
        <v>19035.72</v>
      </c>
    </row>
    <row r="279" spans="1:3" x14ac:dyDescent="0.3">
      <c r="A279" s="1">
        <v>28623</v>
      </c>
      <c r="B279" s="1">
        <v>20300</v>
      </c>
      <c r="C279" s="1">
        <v>8323</v>
      </c>
    </row>
    <row r="280" spans="1:3" x14ac:dyDescent="0.3">
      <c r="A280" s="1">
        <v>1730.54</v>
      </c>
      <c r="B280" s="1">
        <v>1315</v>
      </c>
      <c r="C280" s="1">
        <v>415.53999999999996</v>
      </c>
    </row>
    <row r="281" spans="1:3" x14ac:dyDescent="0.3">
      <c r="A281" s="1">
        <v>104222.5</v>
      </c>
      <c r="B281" s="1">
        <v>106440</v>
      </c>
      <c r="C281" s="1">
        <v>-2217.5</v>
      </c>
    </row>
    <row r="282" spans="1:3" x14ac:dyDescent="0.3">
      <c r="A282" s="1">
        <v>322420</v>
      </c>
      <c r="B282" s="1">
        <v>254800</v>
      </c>
      <c r="C282" s="1">
        <v>67620</v>
      </c>
    </row>
    <row r="283" spans="1:3" x14ac:dyDescent="0.3">
      <c r="A283" s="1">
        <v>480340</v>
      </c>
      <c r="B283" s="1">
        <v>379600</v>
      </c>
      <c r="C283" s="1">
        <v>100740</v>
      </c>
    </row>
    <row r="284" spans="1:3" x14ac:dyDescent="0.3">
      <c r="A284" s="1">
        <v>9231.74</v>
      </c>
      <c r="B284" s="1">
        <v>7015</v>
      </c>
      <c r="C284" s="1">
        <v>2216.7399999999998</v>
      </c>
    </row>
    <row r="285" spans="1:3" x14ac:dyDescent="0.3">
      <c r="A285" s="1">
        <v>30715.439999999999</v>
      </c>
      <c r="B285" s="1">
        <v>8169</v>
      </c>
      <c r="C285" s="1">
        <v>22546.44</v>
      </c>
    </row>
    <row r="286" spans="1:3" x14ac:dyDescent="0.3">
      <c r="A286" s="1">
        <v>492184</v>
      </c>
      <c r="B286" s="1">
        <v>388960</v>
      </c>
      <c r="C286" s="1">
        <v>103224</v>
      </c>
    </row>
    <row r="287" spans="1:3" x14ac:dyDescent="0.3">
      <c r="A287" s="1">
        <v>25932.720000000001</v>
      </c>
      <c r="B287" s="1">
        <v>6897</v>
      </c>
      <c r="C287" s="1">
        <v>19035.72</v>
      </c>
    </row>
    <row r="288" spans="1:3" x14ac:dyDescent="0.3">
      <c r="A288" s="1">
        <v>239183</v>
      </c>
      <c r="B288" s="1">
        <v>189020</v>
      </c>
      <c r="C288" s="1">
        <v>50163</v>
      </c>
    </row>
    <row r="289" spans="1:3" x14ac:dyDescent="0.3">
      <c r="A289" s="1">
        <v>111860</v>
      </c>
      <c r="B289" s="1">
        <v>114240</v>
      </c>
      <c r="C289" s="1">
        <v>-2380</v>
      </c>
    </row>
    <row r="290" spans="1:3" x14ac:dyDescent="0.3">
      <c r="A290" s="1">
        <v>323712.5</v>
      </c>
      <c r="B290" s="1">
        <v>330600</v>
      </c>
      <c r="C290" s="1">
        <v>-6887.5</v>
      </c>
    </row>
    <row r="291" spans="1:3" x14ac:dyDescent="0.3">
      <c r="A291" s="1">
        <v>21573</v>
      </c>
      <c r="B291" s="1">
        <v>15300</v>
      </c>
      <c r="C291" s="1">
        <v>6273</v>
      </c>
    </row>
    <row r="292" spans="1:3" x14ac:dyDescent="0.3">
      <c r="A292" s="1">
        <v>492184</v>
      </c>
      <c r="B292" s="1">
        <v>388960</v>
      </c>
      <c r="C292" s="1">
        <v>103224</v>
      </c>
    </row>
    <row r="293" spans="1:3" x14ac:dyDescent="0.3">
      <c r="A293" s="1">
        <v>9856.84</v>
      </c>
      <c r="B293" s="1">
        <v>7490</v>
      </c>
      <c r="C293" s="1">
        <v>2366.84</v>
      </c>
    </row>
    <row r="294" spans="1:3" x14ac:dyDescent="0.3">
      <c r="A294" s="1">
        <v>344322</v>
      </c>
      <c r="B294" s="1">
        <v>305250</v>
      </c>
      <c r="C294" s="1">
        <v>39072</v>
      </c>
    </row>
    <row r="295" spans="1:3" x14ac:dyDescent="0.3">
      <c r="A295" s="1">
        <v>683004</v>
      </c>
      <c r="B295" s="1">
        <v>539760</v>
      </c>
      <c r="C295" s="1">
        <v>143244</v>
      </c>
    </row>
    <row r="296" spans="1:3" x14ac:dyDescent="0.3">
      <c r="A296" s="1">
        <v>40100.400000000001</v>
      </c>
      <c r="B296" s="1">
        <v>28440</v>
      </c>
      <c r="C296" s="1">
        <v>11660.400000000001</v>
      </c>
    </row>
    <row r="297" spans="1:3" x14ac:dyDescent="0.3">
      <c r="A297" s="1">
        <v>9856.84</v>
      </c>
      <c r="B297" s="1">
        <v>7490</v>
      </c>
      <c r="C297" s="1">
        <v>2366.84</v>
      </c>
    </row>
    <row r="298" spans="1:3" x14ac:dyDescent="0.3">
      <c r="A298" s="1">
        <v>344322</v>
      </c>
      <c r="B298" s="1">
        <v>305250</v>
      </c>
      <c r="C298" s="1">
        <v>39072</v>
      </c>
    </row>
    <row r="299" spans="1:3" x14ac:dyDescent="0.3">
      <c r="A299" s="1">
        <v>21112.400000000001</v>
      </c>
      <c r="B299" s="1">
        <v>11230</v>
      </c>
      <c r="C299" s="1">
        <v>9882.4000000000015</v>
      </c>
    </row>
    <row r="300" spans="1:3" x14ac:dyDescent="0.3">
      <c r="A300" s="1">
        <v>686952</v>
      </c>
      <c r="B300" s="1">
        <v>609000</v>
      </c>
      <c r="C300" s="1">
        <v>77952</v>
      </c>
    </row>
    <row r="301" spans="1:3" x14ac:dyDescent="0.3">
      <c r="A301" s="1">
        <v>233531.25</v>
      </c>
      <c r="B301" s="1">
        <v>238500</v>
      </c>
      <c r="C301" s="1">
        <v>-4968.75</v>
      </c>
    </row>
    <row r="302" spans="1:3" x14ac:dyDescent="0.3">
      <c r="A302" s="1">
        <v>552391</v>
      </c>
      <c r="B302" s="1">
        <v>436540</v>
      </c>
      <c r="C302" s="1">
        <v>115851</v>
      </c>
    </row>
    <row r="303" spans="1:3" x14ac:dyDescent="0.3">
      <c r="A303" s="1">
        <v>239183</v>
      </c>
      <c r="B303" s="1">
        <v>189020</v>
      </c>
      <c r="C303" s="1">
        <v>50163</v>
      </c>
    </row>
    <row r="304" spans="1:3" x14ac:dyDescent="0.3">
      <c r="A304" s="1">
        <v>9231.74</v>
      </c>
      <c r="B304" s="1">
        <v>7015</v>
      </c>
      <c r="C304" s="1">
        <v>2216.7399999999998</v>
      </c>
    </row>
    <row r="305" spans="1:3" x14ac:dyDescent="0.3">
      <c r="A305" s="1">
        <v>683004</v>
      </c>
      <c r="B305" s="1">
        <v>539760</v>
      </c>
      <c r="C305" s="1">
        <v>143244</v>
      </c>
    </row>
    <row r="306" spans="1:3" x14ac:dyDescent="0.3">
      <c r="A306" s="1">
        <v>33031.599999999999</v>
      </c>
      <c r="B306" s="1">
        <v>17570</v>
      </c>
      <c r="C306" s="1">
        <v>15461.599999999999</v>
      </c>
    </row>
    <row r="307" spans="1:3" x14ac:dyDescent="0.3">
      <c r="A307" s="1">
        <v>30991.8</v>
      </c>
      <c r="B307" s="1">
        <v>21980</v>
      </c>
      <c r="C307" s="1">
        <v>9011.7999999999993</v>
      </c>
    </row>
    <row r="308" spans="1:3" x14ac:dyDescent="0.3">
      <c r="A308" s="1">
        <v>24576.3</v>
      </c>
      <c r="B308" s="1">
        <v>17430</v>
      </c>
      <c r="C308" s="1">
        <v>7146.2999999999993</v>
      </c>
    </row>
    <row r="309" spans="1:3" x14ac:dyDescent="0.3">
      <c r="A309" s="1">
        <v>16257.3</v>
      </c>
      <c r="B309" s="1">
        <v>11530</v>
      </c>
      <c r="C309" s="1">
        <v>4727.2999999999993</v>
      </c>
    </row>
    <row r="310" spans="1:3" x14ac:dyDescent="0.3">
      <c r="A310" s="1">
        <v>33031.599999999999</v>
      </c>
      <c r="B310" s="1">
        <v>17570</v>
      </c>
      <c r="C310" s="1">
        <v>15461.599999999999</v>
      </c>
    </row>
    <row r="311" spans="1:3" x14ac:dyDescent="0.3">
      <c r="A311" s="1">
        <v>18818.8</v>
      </c>
      <c r="B311" s="1">
        <v>10010</v>
      </c>
      <c r="C311" s="1">
        <v>8808.7999999999993</v>
      </c>
    </row>
    <row r="312" spans="1:3" x14ac:dyDescent="0.3">
      <c r="A312" s="1">
        <v>8771.14</v>
      </c>
      <c r="B312" s="1">
        <v>6665</v>
      </c>
      <c r="C312" s="1">
        <v>2106.1399999999994</v>
      </c>
    </row>
    <row r="313" spans="1:3" x14ac:dyDescent="0.3">
      <c r="A313" s="1">
        <v>16257.3</v>
      </c>
      <c r="B313" s="1">
        <v>11530</v>
      </c>
      <c r="C313" s="1">
        <v>4727.2999999999993</v>
      </c>
    </row>
    <row r="314" spans="1:3" x14ac:dyDescent="0.3">
      <c r="A314" s="1">
        <v>8113.32</v>
      </c>
      <c r="B314" s="1">
        <v>2181</v>
      </c>
      <c r="C314" s="1">
        <v>5932.32</v>
      </c>
    </row>
    <row r="315" spans="1:3" x14ac:dyDescent="0.3">
      <c r="A315" s="1">
        <v>21025.439999999999</v>
      </c>
      <c r="B315" s="1">
        <v>5652</v>
      </c>
      <c r="C315" s="1">
        <v>15373.439999999999</v>
      </c>
    </row>
    <row r="316" spans="1:3" x14ac:dyDescent="0.3">
      <c r="A316" s="1">
        <v>34112.400000000001</v>
      </c>
      <c r="B316" s="1">
        <v>18340</v>
      </c>
      <c r="C316" s="1">
        <v>15772.400000000001</v>
      </c>
    </row>
    <row r="317" spans="1:3" x14ac:dyDescent="0.3">
      <c r="A317" s="1">
        <v>26114.400000000001</v>
      </c>
      <c r="B317" s="1">
        <v>7020</v>
      </c>
      <c r="C317" s="1">
        <v>19094.400000000001</v>
      </c>
    </row>
    <row r="318" spans="1:3" x14ac:dyDescent="0.3">
      <c r="A318" s="1">
        <v>26136.720000000001</v>
      </c>
      <c r="B318" s="1">
        <v>7026</v>
      </c>
      <c r="C318" s="1">
        <v>19110.72</v>
      </c>
    </row>
    <row r="319" spans="1:3" x14ac:dyDescent="0.3">
      <c r="A319" s="1">
        <v>6711.81</v>
      </c>
      <c r="B319" s="1">
        <v>5155</v>
      </c>
      <c r="C319" s="1">
        <v>1556.8100000000004</v>
      </c>
    </row>
    <row r="320" spans="1:3" x14ac:dyDescent="0.3">
      <c r="A320" s="1">
        <v>17604.900000000001</v>
      </c>
      <c r="B320" s="1">
        <v>12620</v>
      </c>
      <c r="C320" s="1">
        <v>4984.9000000000015</v>
      </c>
    </row>
    <row r="321" spans="1:3" x14ac:dyDescent="0.3">
      <c r="A321" s="1">
        <v>7388.85</v>
      </c>
      <c r="B321" s="1">
        <v>5675</v>
      </c>
      <c r="C321" s="1">
        <v>1713.8500000000004</v>
      </c>
    </row>
    <row r="322" spans="1:3" x14ac:dyDescent="0.3">
      <c r="A322" s="1">
        <v>3560.9700000000003</v>
      </c>
      <c r="B322" s="1">
        <v>2735</v>
      </c>
      <c r="C322" s="1">
        <v>825.97000000000025</v>
      </c>
    </row>
    <row r="323" spans="1:3" x14ac:dyDescent="0.3">
      <c r="A323" s="1">
        <v>10298.82</v>
      </c>
      <c r="B323" s="1">
        <v>7910</v>
      </c>
      <c r="C323" s="1">
        <v>2388.8199999999997</v>
      </c>
    </row>
    <row r="324" spans="1:3" x14ac:dyDescent="0.3">
      <c r="A324" s="1">
        <v>19401.66</v>
      </c>
      <c r="B324" s="1">
        <v>5215.5</v>
      </c>
      <c r="C324" s="1">
        <v>14186.16</v>
      </c>
    </row>
    <row r="325" spans="1:3" x14ac:dyDescent="0.3">
      <c r="A325" s="1">
        <v>24719.4</v>
      </c>
      <c r="B325" s="1">
        <v>6645</v>
      </c>
      <c r="C325" s="1">
        <v>18074.400000000001</v>
      </c>
    </row>
    <row r="326" spans="1:3" x14ac:dyDescent="0.3">
      <c r="A326" s="1">
        <v>10298.82</v>
      </c>
      <c r="B326" s="1">
        <v>7910</v>
      </c>
      <c r="C326" s="1">
        <v>2388.8199999999997</v>
      </c>
    </row>
    <row r="327" spans="1:3" x14ac:dyDescent="0.3">
      <c r="A327" s="1">
        <v>7388.85</v>
      </c>
      <c r="B327" s="1">
        <v>5675</v>
      </c>
      <c r="C327" s="1">
        <v>1713.8500000000004</v>
      </c>
    </row>
    <row r="328" spans="1:3" x14ac:dyDescent="0.3">
      <c r="A328" s="1">
        <v>573205.5</v>
      </c>
      <c r="B328" s="1">
        <v>457860</v>
      </c>
      <c r="C328" s="1">
        <v>115345.5</v>
      </c>
    </row>
    <row r="329" spans="1:3" x14ac:dyDescent="0.3">
      <c r="A329" s="1">
        <v>124992</v>
      </c>
      <c r="B329" s="1">
        <v>112000</v>
      </c>
      <c r="C329" s="1">
        <v>12992</v>
      </c>
    </row>
    <row r="330" spans="1:3" x14ac:dyDescent="0.3">
      <c r="A330" s="1">
        <v>608499</v>
      </c>
      <c r="B330" s="1">
        <v>545250</v>
      </c>
      <c r="C330" s="1">
        <v>63249</v>
      </c>
    </row>
    <row r="331" spans="1:3" x14ac:dyDescent="0.3">
      <c r="A331" s="1">
        <v>36753.599999999999</v>
      </c>
      <c r="B331" s="1">
        <v>19760</v>
      </c>
      <c r="C331" s="1">
        <v>16993.599999999999</v>
      </c>
    </row>
    <row r="332" spans="1:3" x14ac:dyDescent="0.3">
      <c r="A332" s="1">
        <v>608499</v>
      </c>
      <c r="B332" s="1">
        <v>545250</v>
      </c>
      <c r="C332" s="1">
        <v>63249</v>
      </c>
    </row>
    <row r="333" spans="1:3" x14ac:dyDescent="0.3">
      <c r="A333" s="1">
        <v>290625</v>
      </c>
      <c r="B333" s="1">
        <v>300000</v>
      </c>
      <c r="C333" s="1">
        <v>-9375</v>
      </c>
    </row>
    <row r="334" spans="1:3" x14ac:dyDescent="0.3">
      <c r="A334" s="1">
        <v>474858</v>
      </c>
      <c r="B334" s="1">
        <v>425500</v>
      </c>
      <c r="C334" s="1">
        <v>49358</v>
      </c>
    </row>
    <row r="335" spans="1:3" x14ac:dyDescent="0.3">
      <c r="A335" s="1">
        <v>124992</v>
      </c>
      <c r="B335" s="1">
        <v>112000</v>
      </c>
      <c r="C335" s="1">
        <v>12992</v>
      </c>
    </row>
    <row r="336" spans="1:3" x14ac:dyDescent="0.3">
      <c r="A336" s="1">
        <v>408386.25</v>
      </c>
      <c r="B336" s="1">
        <v>421560</v>
      </c>
      <c r="C336" s="1">
        <v>-13173.75</v>
      </c>
    </row>
    <row r="337" spans="1:3" x14ac:dyDescent="0.3">
      <c r="A337" s="1">
        <v>29308.95</v>
      </c>
      <c r="B337" s="1">
        <v>21010</v>
      </c>
      <c r="C337" s="1">
        <v>8298.9500000000007</v>
      </c>
    </row>
    <row r="338" spans="1:3" x14ac:dyDescent="0.3">
      <c r="A338" s="1">
        <v>40887.449999999997</v>
      </c>
      <c r="B338" s="1">
        <v>29310</v>
      </c>
      <c r="C338" s="1">
        <v>11577.449999999997</v>
      </c>
    </row>
    <row r="339" spans="1:3" x14ac:dyDescent="0.3">
      <c r="A339" s="1">
        <v>28551</v>
      </c>
      <c r="B339" s="1">
        <v>15350</v>
      </c>
      <c r="C339" s="1">
        <v>13201</v>
      </c>
    </row>
    <row r="340" spans="1:3" x14ac:dyDescent="0.3">
      <c r="A340" s="1">
        <v>313317</v>
      </c>
      <c r="B340" s="1">
        <v>280750</v>
      </c>
      <c r="C340" s="1">
        <v>32567</v>
      </c>
    </row>
    <row r="341" spans="1:3" x14ac:dyDescent="0.3">
      <c r="A341" s="1">
        <v>391716</v>
      </c>
      <c r="B341" s="1">
        <v>351000</v>
      </c>
      <c r="C341" s="1">
        <v>40716</v>
      </c>
    </row>
    <row r="342" spans="1:3" x14ac:dyDescent="0.3">
      <c r="A342" s="1">
        <v>30835.08</v>
      </c>
      <c r="B342" s="1">
        <v>8289</v>
      </c>
      <c r="C342" s="1">
        <v>22546.080000000002</v>
      </c>
    </row>
    <row r="343" spans="1:3" x14ac:dyDescent="0.3">
      <c r="A343" s="1">
        <v>13833.75</v>
      </c>
      <c r="B343" s="1">
        <v>10625</v>
      </c>
      <c r="C343" s="1">
        <v>3208.75</v>
      </c>
    </row>
    <row r="344" spans="1:3" x14ac:dyDescent="0.3">
      <c r="A344" s="1">
        <v>462861</v>
      </c>
      <c r="B344" s="1">
        <v>414750</v>
      </c>
      <c r="C344" s="1">
        <v>48111</v>
      </c>
    </row>
    <row r="345" spans="1:3" x14ac:dyDescent="0.3">
      <c r="A345" s="1">
        <v>11327.4</v>
      </c>
      <c r="B345" s="1">
        <v>6090</v>
      </c>
      <c r="C345" s="1">
        <v>5237.3999999999996</v>
      </c>
    </row>
    <row r="346" spans="1:3" x14ac:dyDescent="0.3">
      <c r="A346" s="1">
        <v>242613.75</v>
      </c>
      <c r="B346" s="1">
        <v>250440</v>
      </c>
      <c r="C346" s="1">
        <v>-7826.25</v>
      </c>
    </row>
    <row r="347" spans="1:3" x14ac:dyDescent="0.3">
      <c r="A347" s="1">
        <v>36753.599999999999</v>
      </c>
      <c r="B347" s="1">
        <v>19760</v>
      </c>
      <c r="C347" s="1">
        <v>16993.599999999999</v>
      </c>
    </row>
    <row r="348" spans="1:3" x14ac:dyDescent="0.3">
      <c r="A348" s="1">
        <v>26430.6</v>
      </c>
      <c r="B348" s="1">
        <v>14210</v>
      </c>
      <c r="C348" s="1">
        <v>12220.599999999999</v>
      </c>
    </row>
    <row r="349" spans="1:3" x14ac:dyDescent="0.3">
      <c r="A349" s="1">
        <v>382788</v>
      </c>
      <c r="B349" s="1">
        <v>343000</v>
      </c>
      <c r="C349" s="1">
        <v>39788</v>
      </c>
    </row>
    <row r="350" spans="1:3" x14ac:dyDescent="0.3">
      <c r="A350" s="1">
        <v>10936.8</v>
      </c>
      <c r="B350" s="1">
        <v>5880</v>
      </c>
      <c r="C350" s="1">
        <v>5056.7999999999993</v>
      </c>
    </row>
    <row r="351" spans="1:3" x14ac:dyDescent="0.3">
      <c r="A351" s="1">
        <v>36208.620000000003</v>
      </c>
      <c r="B351" s="1">
        <v>9733.5</v>
      </c>
      <c r="C351" s="1">
        <v>26475.120000000003</v>
      </c>
    </row>
    <row r="352" spans="1:3" x14ac:dyDescent="0.3">
      <c r="A352" s="1">
        <v>267561</v>
      </c>
      <c r="B352" s="1">
        <v>239750</v>
      </c>
      <c r="C352" s="1">
        <v>27811</v>
      </c>
    </row>
    <row r="353" spans="1:3" x14ac:dyDescent="0.3">
      <c r="A353" s="1">
        <v>766413</v>
      </c>
      <c r="B353" s="1">
        <v>686750</v>
      </c>
      <c r="C353" s="1">
        <v>79663</v>
      </c>
    </row>
    <row r="354" spans="1:3" x14ac:dyDescent="0.3">
      <c r="A354" s="1">
        <v>191231.25</v>
      </c>
      <c r="B354" s="1">
        <v>197400</v>
      </c>
      <c r="C354" s="1">
        <v>-6168.75</v>
      </c>
    </row>
    <row r="355" spans="1:3" x14ac:dyDescent="0.3">
      <c r="A355" s="1">
        <v>936138</v>
      </c>
      <c r="B355" s="1">
        <v>747760</v>
      </c>
      <c r="C355" s="1">
        <v>188378</v>
      </c>
    </row>
    <row r="356" spans="1:3" x14ac:dyDescent="0.3">
      <c r="A356" s="1">
        <v>115552.5</v>
      </c>
      <c r="B356" s="1">
        <v>119280</v>
      </c>
      <c r="C356" s="1">
        <v>-3727.5</v>
      </c>
    </row>
    <row r="357" spans="1:3" x14ac:dyDescent="0.3">
      <c r="A357" s="1">
        <v>20794.8</v>
      </c>
      <c r="B357" s="1">
        <v>11180</v>
      </c>
      <c r="C357" s="1">
        <v>9614.7999999999993</v>
      </c>
    </row>
    <row r="358" spans="1:3" x14ac:dyDescent="0.3">
      <c r="A358" s="1">
        <v>382788</v>
      </c>
      <c r="B358" s="1">
        <v>343000</v>
      </c>
      <c r="C358" s="1">
        <v>39788</v>
      </c>
    </row>
    <row r="359" spans="1:3" x14ac:dyDescent="0.3">
      <c r="A359" s="1">
        <v>3142.7200000000003</v>
      </c>
      <c r="B359" s="1">
        <v>2440</v>
      </c>
      <c r="C359" s="1">
        <v>702.72000000000025</v>
      </c>
    </row>
    <row r="360" spans="1:3" x14ac:dyDescent="0.3">
      <c r="A360" s="1">
        <v>23588.799999999999</v>
      </c>
      <c r="B360" s="1">
        <v>12820</v>
      </c>
      <c r="C360" s="1">
        <v>10768.8</v>
      </c>
    </row>
    <row r="361" spans="1:3" x14ac:dyDescent="0.3">
      <c r="A361" s="1">
        <v>1655.08</v>
      </c>
      <c r="B361" s="1">
        <v>1285</v>
      </c>
      <c r="C361" s="1">
        <v>370.07999999999993</v>
      </c>
    </row>
    <row r="362" spans="1:3" x14ac:dyDescent="0.3">
      <c r="A362" s="1">
        <v>23588.799999999999</v>
      </c>
      <c r="B362" s="1">
        <v>12820</v>
      </c>
      <c r="C362" s="1">
        <v>10768.8</v>
      </c>
    </row>
    <row r="363" spans="1:3" x14ac:dyDescent="0.3">
      <c r="A363" s="1">
        <v>177100</v>
      </c>
      <c r="B363" s="1">
        <v>184800</v>
      </c>
      <c r="C363" s="1">
        <v>-7700</v>
      </c>
    </row>
    <row r="364" spans="1:3" x14ac:dyDescent="0.3">
      <c r="A364" s="1">
        <v>6762</v>
      </c>
      <c r="B364" s="1">
        <v>4900</v>
      </c>
      <c r="C364" s="1">
        <v>1862</v>
      </c>
    </row>
    <row r="365" spans="1:3" x14ac:dyDescent="0.3">
      <c r="A365" s="1">
        <v>438564</v>
      </c>
      <c r="B365" s="1">
        <v>354120</v>
      </c>
      <c r="C365" s="1">
        <v>84444</v>
      </c>
    </row>
    <row r="366" spans="1:3" x14ac:dyDescent="0.3">
      <c r="A366" s="1">
        <v>34513.800000000003</v>
      </c>
      <c r="B366" s="1">
        <v>25010</v>
      </c>
      <c r="C366" s="1">
        <v>9503.8000000000029</v>
      </c>
    </row>
    <row r="367" spans="1:3" x14ac:dyDescent="0.3">
      <c r="A367" s="1">
        <v>13027.2</v>
      </c>
      <c r="B367" s="1">
        <v>7080</v>
      </c>
      <c r="C367" s="1">
        <v>5947.2000000000007</v>
      </c>
    </row>
    <row r="368" spans="1:3" x14ac:dyDescent="0.3">
      <c r="A368" s="1">
        <v>11868</v>
      </c>
      <c r="B368" s="1">
        <v>6450</v>
      </c>
      <c r="C368" s="1">
        <v>5418</v>
      </c>
    </row>
    <row r="369" spans="1:3" x14ac:dyDescent="0.3">
      <c r="A369" s="1">
        <v>431112</v>
      </c>
      <c r="B369" s="1">
        <v>390500</v>
      </c>
      <c r="C369" s="1">
        <v>40612</v>
      </c>
    </row>
    <row r="370" spans="1:3" x14ac:dyDescent="0.3">
      <c r="A370" s="1">
        <v>354108</v>
      </c>
      <c r="B370" s="1">
        <v>320750</v>
      </c>
      <c r="C370" s="1">
        <v>33358</v>
      </c>
    </row>
    <row r="371" spans="1:3" x14ac:dyDescent="0.3">
      <c r="A371" s="1">
        <v>9811.7999999999993</v>
      </c>
      <c r="B371" s="1">
        <v>7110</v>
      </c>
      <c r="C371" s="1">
        <v>2701.7999999999993</v>
      </c>
    </row>
    <row r="372" spans="1:3" x14ac:dyDescent="0.3">
      <c r="A372" s="1">
        <v>128110</v>
      </c>
      <c r="B372" s="1">
        <v>133680</v>
      </c>
      <c r="C372" s="1">
        <v>-5570</v>
      </c>
    </row>
    <row r="373" spans="1:3" x14ac:dyDescent="0.3">
      <c r="A373" s="1">
        <v>8107.96</v>
      </c>
      <c r="B373" s="1">
        <v>6295</v>
      </c>
      <c r="C373" s="1">
        <v>1812.96</v>
      </c>
    </row>
    <row r="374" spans="1:3" x14ac:dyDescent="0.3">
      <c r="A374" s="1">
        <v>7051.8</v>
      </c>
      <c r="B374" s="1">
        <v>5475</v>
      </c>
      <c r="C374" s="1">
        <v>1576.8000000000002</v>
      </c>
    </row>
    <row r="375" spans="1:3" x14ac:dyDescent="0.3">
      <c r="A375" s="1">
        <v>25134.400000000001</v>
      </c>
      <c r="B375" s="1">
        <v>13660</v>
      </c>
      <c r="C375" s="1">
        <v>11474.400000000001</v>
      </c>
    </row>
    <row r="376" spans="1:3" x14ac:dyDescent="0.3">
      <c r="A376" s="1">
        <v>678960</v>
      </c>
      <c r="B376" s="1">
        <v>615000</v>
      </c>
      <c r="C376" s="1">
        <v>63960</v>
      </c>
    </row>
    <row r="377" spans="1:3" x14ac:dyDescent="0.3">
      <c r="A377" s="1">
        <v>4366.32</v>
      </c>
      <c r="B377" s="1">
        <v>3390</v>
      </c>
      <c r="C377" s="1">
        <v>976.31999999999971</v>
      </c>
    </row>
    <row r="378" spans="1:3" x14ac:dyDescent="0.3">
      <c r="A378" s="1">
        <v>10291.120000000001</v>
      </c>
      <c r="B378" s="1">
        <v>7990</v>
      </c>
      <c r="C378" s="1">
        <v>2301.1200000000008</v>
      </c>
    </row>
    <row r="379" spans="1:3" x14ac:dyDescent="0.3">
      <c r="A379" s="1">
        <v>15513.96</v>
      </c>
      <c r="B379" s="1">
        <v>12045</v>
      </c>
      <c r="C379" s="1">
        <v>3468.9599999999991</v>
      </c>
    </row>
    <row r="380" spans="1:3" x14ac:dyDescent="0.3">
      <c r="A380" s="1">
        <v>35585.599999999999</v>
      </c>
      <c r="B380" s="1">
        <v>19340</v>
      </c>
      <c r="C380" s="1">
        <v>16245.599999999999</v>
      </c>
    </row>
    <row r="381" spans="1:3" x14ac:dyDescent="0.3">
      <c r="A381" s="1">
        <v>55071.199999999997</v>
      </c>
      <c r="B381" s="1">
        <v>29930</v>
      </c>
      <c r="C381" s="1">
        <v>25141.199999999997</v>
      </c>
    </row>
    <row r="382" spans="1:3" x14ac:dyDescent="0.3">
      <c r="A382" s="1">
        <v>691012</v>
      </c>
      <c r="B382" s="1">
        <v>557960</v>
      </c>
      <c r="C382" s="1">
        <v>133052</v>
      </c>
    </row>
    <row r="383" spans="1:3" x14ac:dyDescent="0.3">
      <c r="A383" s="1">
        <v>12532.24</v>
      </c>
      <c r="B383" s="1">
        <v>9730</v>
      </c>
      <c r="C383" s="1">
        <v>2802.24</v>
      </c>
    </row>
    <row r="384" spans="1:3" x14ac:dyDescent="0.3">
      <c r="A384" s="1">
        <v>438564</v>
      </c>
      <c r="B384" s="1">
        <v>354120</v>
      </c>
      <c r="C384" s="1">
        <v>84444</v>
      </c>
    </row>
    <row r="385" spans="1:3" x14ac:dyDescent="0.3">
      <c r="A385" s="1">
        <v>6601.92</v>
      </c>
      <c r="B385" s="1">
        <v>1794</v>
      </c>
      <c r="C385" s="1">
        <v>4807.92</v>
      </c>
    </row>
    <row r="386" spans="1:3" x14ac:dyDescent="0.3">
      <c r="A386" s="1">
        <v>18721.080000000002</v>
      </c>
      <c r="B386" s="1">
        <v>14535</v>
      </c>
      <c r="C386" s="1">
        <v>4186.0800000000017</v>
      </c>
    </row>
    <row r="387" spans="1:3" x14ac:dyDescent="0.3">
      <c r="A387" s="1">
        <v>15056.72</v>
      </c>
      <c r="B387" s="1">
        <v>11690</v>
      </c>
      <c r="C387" s="1">
        <v>3366.7199999999993</v>
      </c>
    </row>
    <row r="388" spans="1:3" x14ac:dyDescent="0.3">
      <c r="A388" s="1">
        <v>106536</v>
      </c>
      <c r="B388" s="1">
        <v>96500</v>
      </c>
      <c r="C388" s="1">
        <v>10036</v>
      </c>
    </row>
    <row r="389" spans="1:3" x14ac:dyDescent="0.3">
      <c r="A389" s="1">
        <v>175260</v>
      </c>
      <c r="B389" s="1">
        <v>158750</v>
      </c>
      <c r="C389" s="1">
        <v>16510</v>
      </c>
    </row>
    <row r="390" spans="1:3" x14ac:dyDescent="0.3">
      <c r="A390" s="1">
        <v>184989</v>
      </c>
      <c r="B390" s="1">
        <v>149370</v>
      </c>
      <c r="C390" s="1">
        <v>35619</v>
      </c>
    </row>
    <row r="391" spans="1:3" x14ac:dyDescent="0.3">
      <c r="A391" s="1">
        <v>15056.72</v>
      </c>
      <c r="B391" s="1">
        <v>11690</v>
      </c>
      <c r="C391" s="1">
        <v>3366.7199999999993</v>
      </c>
    </row>
    <row r="392" spans="1:3" x14ac:dyDescent="0.3">
      <c r="A392" s="1">
        <v>122682</v>
      </c>
      <c r="B392" s="1">
        <v>99060</v>
      </c>
      <c r="C392" s="1">
        <v>23622</v>
      </c>
    </row>
    <row r="393" spans="1:3" x14ac:dyDescent="0.3">
      <c r="A393" s="1">
        <v>135884</v>
      </c>
      <c r="B393" s="1">
        <v>109720</v>
      </c>
      <c r="C393" s="1">
        <v>26164</v>
      </c>
    </row>
    <row r="394" spans="1:3" x14ac:dyDescent="0.3">
      <c r="A394" s="1">
        <v>588984</v>
      </c>
      <c r="B394" s="1">
        <v>533500</v>
      </c>
      <c r="C394" s="1">
        <v>55484</v>
      </c>
    </row>
    <row r="395" spans="1:3" x14ac:dyDescent="0.3">
      <c r="A395" s="1">
        <v>223008</v>
      </c>
      <c r="B395" s="1">
        <v>202000</v>
      </c>
      <c r="C395" s="1">
        <v>21008</v>
      </c>
    </row>
    <row r="396" spans="1:3" x14ac:dyDescent="0.3">
      <c r="A396" s="1">
        <v>13027.2</v>
      </c>
      <c r="B396" s="1">
        <v>7080</v>
      </c>
      <c r="C396" s="1">
        <v>5947.2000000000007</v>
      </c>
    </row>
    <row r="397" spans="1:3" x14ac:dyDescent="0.3">
      <c r="A397" s="1">
        <v>18721.080000000002</v>
      </c>
      <c r="B397" s="1">
        <v>14535</v>
      </c>
      <c r="C397" s="1">
        <v>4186.0800000000017</v>
      </c>
    </row>
    <row r="398" spans="1:3" x14ac:dyDescent="0.3">
      <c r="A398" s="1">
        <v>25134.400000000001</v>
      </c>
      <c r="B398" s="1">
        <v>13660</v>
      </c>
      <c r="C398" s="1">
        <v>11474.400000000001</v>
      </c>
    </row>
    <row r="399" spans="1:3" x14ac:dyDescent="0.3">
      <c r="A399" s="1">
        <v>678960</v>
      </c>
      <c r="B399" s="1">
        <v>615000</v>
      </c>
      <c r="C399" s="1">
        <v>63960</v>
      </c>
    </row>
    <row r="400" spans="1:3" x14ac:dyDescent="0.3">
      <c r="A400" s="1">
        <v>27968</v>
      </c>
      <c r="B400" s="1">
        <v>15200</v>
      </c>
      <c r="C400" s="1">
        <v>12768</v>
      </c>
    </row>
    <row r="401" spans="1:3" x14ac:dyDescent="0.3">
      <c r="A401" s="1">
        <v>9811.7999999999993</v>
      </c>
      <c r="B401" s="1">
        <v>7110</v>
      </c>
      <c r="C401" s="1">
        <v>2701.7999999999993</v>
      </c>
    </row>
    <row r="402" spans="1:3" x14ac:dyDescent="0.3">
      <c r="A402" s="1">
        <v>15180</v>
      </c>
      <c r="B402" s="1">
        <v>4125</v>
      </c>
      <c r="C402" s="1">
        <v>11055</v>
      </c>
    </row>
    <row r="403" spans="1:3" x14ac:dyDescent="0.3">
      <c r="A403" s="1">
        <v>175260</v>
      </c>
      <c r="B403" s="1">
        <v>158750</v>
      </c>
      <c r="C403" s="1">
        <v>16510</v>
      </c>
    </row>
    <row r="404" spans="1:3" x14ac:dyDescent="0.3">
      <c r="A404" s="1">
        <v>8031.5999999999995</v>
      </c>
      <c r="B404" s="1">
        <v>4365</v>
      </c>
      <c r="C404" s="1">
        <v>3666.5999999999995</v>
      </c>
    </row>
    <row r="405" spans="1:3" x14ac:dyDescent="0.3">
      <c r="A405" s="1">
        <v>298662</v>
      </c>
      <c r="B405" s="1">
        <v>273500</v>
      </c>
      <c r="C405" s="1">
        <v>25162</v>
      </c>
    </row>
    <row r="406" spans="1:3" x14ac:dyDescent="0.3">
      <c r="A406" s="1">
        <v>4007.64</v>
      </c>
      <c r="B406" s="1">
        <v>1101</v>
      </c>
      <c r="C406" s="1">
        <v>2906.64</v>
      </c>
    </row>
    <row r="407" spans="1:3" x14ac:dyDescent="0.3">
      <c r="A407" s="1">
        <v>1038082.5</v>
      </c>
      <c r="B407" s="1">
        <v>950625</v>
      </c>
      <c r="C407" s="1">
        <v>87457.5</v>
      </c>
    </row>
    <row r="408" spans="1:3" x14ac:dyDescent="0.3">
      <c r="A408" s="1">
        <v>530621</v>
      </c>
      <c r="B408" s="1">
        <v>433160</v>
      </c>
      <c r="C408" s="1">
        <v>97461</v>
      </c>
    </row>
    <row r="409" spans="1:3" x14ac:dyDescent="0.3">
      <c r="A409" s="1">
        <v>87906</v>
      </c>
      <c r="B409" s="1">
        <v>80500</v>
      </c>
      <c r="C409" s="1">
        <v>7406</v>
      </c>
    </row>
    <row r="410" spans="1:3" x14ac:dyDescent="0.3">
      <c r="A410" s="1">
        <v>25345.32</v>
      </c>
      <c r="B410" s="1">
        <v>6963</v>
      </c>
      <c r="C410" s="1">
        <v>18382.32</v>
      </c>
    </row>
    <row r="411" spans="1:3" x14ac:dyDescent="0.3">
      <c r="A411" s="1">
        <v>211233.75</v>
      </c>
      <c r="B411" s="1">
        <v>222840</v>
      </c>
      <c r="C411" s="1">
        <v>-11606.25</v>
      </c>
    </row>
    <row r="412" spans="1:3" x14ac:dyDescent="0.3">
      <c r="A412" s="1">
        <v>10262.07</v>
      </c>
      <c r="B412" s="1">
        <v>8055</v>
      </c>
      <c r="C412" s="1">
        <v>2207.0699999999997</v>
      </c>
    </row>
    <row r="413" spans="1:3" x14ac:dyDescent="0.3">
      <c r="A413" s="1">
        <v>318158.75</v>
      </c>
      <c r="B413" s="1">
        <v>335640</v>
      </c>
      <c r="C413" s="1">
        <v>-17481.25</v>
      </c>
    </row>
    <row r="414" spans="1:3" x14ac:dyDescent="0.3">
      <c r="A414" s="1">
        <v>91182</v>
      </c>
      <c r="B414" s="1">
        <v>83500</v>
      </c>
      <c r="C414" s="1">
        <v>7682</v>
      </c>
    </row>
    <row r="415" spans="1:3" x14ac:dyDescent="0.3">
      <c r="A415" s="1">
        <v>700245</v>
      </c>
      <c r="B415" s="1">
        <v>641250</v>
      </c>
      <c r="C415" s="1">
        <v>58995</v>
      </c>
    </row>
    <row r="416" spans="1:3" x14ac:dyDescent="0.3">
      <c r="A416" s="1">
        <v>769814.5</v>
      </c>
      <c r="B416" s="1">
        <v>628420</v>
      </c>
      <c r="C416" s="1">
        <v>141394.5</v>
      </c>
    </row>
    <row r="417" spans="1:3" x14ac:dyDescent="0.3">
      <c r="A417" s="1">
        <v>50163.75</v>
      </c>
      <c r="B417" s="1">
        <v>36750</v>
      </c>
      <c r="C417" s="1">
        <v>13413.75</v>
      </c>
    </row>
    <row r="418" spans="1:3" x14ac:dyDescent="0.3">
      <c r="A418" s="1">
        <v>298662</v>
      </c>
      <c r="B418" s="1">
        <v>273500</v>
      </c>
      <c r="C418" s="1">
        <v>25162</v>
      </c>
    </row>
    <row r="419" spans="1:3" x14ac:dyDescent="0.3">
      <c r="A419" s="1">
        <v>16748.55</v>
      </c>
      <c r="B419" s="1">
        <v>12270</v>
      </c>
      <c r="C419" s="1">
        <v>4478.5499999999993</v>
      </c>
    </row>
    <row r="420" spans="1:3" x14ac:dyDescent="0.3">
      <c r="A420" s="1">
        <v>4007.64</v>
      </c>
      <c r="B420" s="1">
        <v>1101</v>
      </c>
      <c r="C420" s="1">
        <v>2906.64</v>
      </c>
    </row>
    <row r="421" spans="1:3" x14ac:dyDescent="0.3">
      <c r="A421" s="1">
        <v>361452</v>
      </c>
      <c r="B421" s="1">
        <v>331000</v>
      </c>
      <c r="C421" s="1">
        <v>30452</v>
      </c>
    </row>
    <row r="422" spans="1:3" x14ac:dyDescent="0.3">
      <c r="A422" s="1">
        <v>19383</v>
      </c>
      <c r="B422" s="1">
        <v>5325</v>
      </c>
      <c r="C422" s="1">
        <v>14058</v>
      </c>
    </row>
    <row r="423" spans="1:3" x14ac:dyDescent="0.3">
      <c r="A423" s="1">
        <v>318158.75</v>
      </c>
      <c r="B423" s="1">
        <v>335640</v>
      </c>
      <c r="C423" s="1">
        <v>-17481.25</v>
      </c>
    </row>
    <row r="424" spans="1:3" x14ac:dyDescent="0.3">
      <c r="A424" s="1">
        <v>3344.25</v>
      </c>
      <c r="B424" s="1">
        <v>2450</v>
      </c>
      <c r="C424" s="1">
        <v>894.25</v>
      </c>
    </row>
    <row r="425" spans="1:3" x14ac:dyDescent="0.3">
      <c r="A425" s="1">
        <v>1035625.5</v>
      </c>
      <c r="B425" s="1">
        <v>948375</v>
      </c>
      <c r="C425" s="1">
        <v>87250.5</v>
      </c>
    </row>
    <row r="426" spans="1:3" x14ac:dyDescent="0.3">
      <c r="A426" s="1">
        <v>416279.5</v>
      </c>
      <c r="B426" s="1">
        <v>339820</v>
      </c>
      <c r="C426" s="1">
        <v>76459.5</v>
      </c>
    </row>
    <row r="427" spans="1:3" x14ac:dyDescent="0.3">
      <c r="A427" s="1">
        <v>64496.25</v>
      </c>
      <c r="B427" s="1">
        <v>68040</v>
      </c>
      <c r="C427" s="1">
        <v>-3543.75</v>
      </c>
    </row>
    <row r="428" spans="1:3" x14ac:dyDescent="0.3">
      <c r="A428" s="1">
        <v>240012.5</v>
      </c>
      <c r="B428" s="1">
        <v>253200</v>
      </c>
      <c r="C428" s="1">
        <v>-13187.5</v>
      </c>
    </row>
    <row r="429" spans="1:3" x14ac:dyDescent="0.3">
      <c r="A429" s="1">
        <v>404176.5</v>
      </c>
      <c r="B429" s="1">
        <v>329940</v>
      </c>
      <c r="C429" s="1">
        <v>74236.5</v>
      </c>
    </row>
    <row r="430" spans="1:3" x14ac:dyDescent="0.3">
      <c r="A430" s="1">
        <v>21359.52</v>
      </c>
      <c r="B430" s="1">
        <v>5868</v>
      </c>
      <c r="C430" s="1">
        <v>15491.52</v>
      </c>
    </row>
    <row r="431" spans="1:3" x14ac:dyDescent="0.3">
      <c r="A431" s="1">
        <v>725907</v>
      </c>
      <c r="B431" s="1">
        <v>664750</v>
      </c>
      <c r="C431" s="1">
        <v>61157</v>
      </c>
    </row>
    <row r="432" spans="1:3" x14ac:dyDescent="0.3">
      <c r="A432" s="1">
        <v>430452.75</v>
      </c>
      <c r="B432" s="1">
        <v>351390</v>
      </c>
      <c r="C432" s="1">
        <v>79062.75</v>
      </c>
    </row>
    <row r="433" spans="1:3" x14ac:dyDescent="0.3">
      <c r="A433" s="1">
        <v>9609.6</v>
      </c>
      <c r="B433" s="1">
        <v>2640</v>
      </c>
      <c r="C433" s="1">
        <v>6969.6</v>
      </c>
    </row>
    <row r="434" spans="1:3" x14ac:dyDescent="0.3">
      <c r="A434" s="1">
        <v>509691</v>
      </c>
      <c r="B434" s="1">
        <v>466750</v>
      </c>
      <c r="C434" s="1">
        <v>42941</v>
      </c>
    </row>
    <row r="435" spans="1:3" x14ac:dyDescent="0.3">
      <c r="A435" s="1">
        <v>24395.279999999999</v>
      </c>
      <c r="B435" s="1">
        <v>6702</v>
      </c>
      <c r="C435" s="1">
        <v>17693.28</v>
      </c>
    </row>
    <row r="436" spans="1:3" x14ac:dyDescent="0.3">
      <c r="A436" s="1">
        <v>16748.55</v>
      </c>
      <c r="B436" s="1">
        <v>12270</v>
      </c>
      <c r="C436" s="1">
        <v>4478.5499999999993</v>
      </c>
    </row>
    <row r="437" spans="1:3" x14ac:dyDescent="0.3">
      <c r="A437" s="1">
        <v>99758.75</v>
      </c>
      <c r="B437" s="1">
        <v>105240</v>
      </c>
      <c r="C437" s="1">
        <v>-5481.25</v>
      </c>
    </row>
    <row r="438" spans="1:3" x14ac:dyDescent="0.3">
      <c r="A438" s="1">
        <v>659613.5</v>
      </c>
      <c r="B438" s="1">
        <v>538460</v>
      </c>
      <c r="C438" s="1">
        <v>121153.5</v>
      </c>
    </row>
    <row r="439" spans="1:3" x14ac:dyDescent="0.3">
      <c r="A439" s="1">
        <v>404176.5</v>
      </c>
      <c r="B439" s="1">
        <v>329940</v>
      </c>
      <c r="C439" s="1">
        <v>74236.5</v>
      </c>
    </row>
    <row r="440" spans="1:3" x14ac:dyDescent="0.3">
      <c r="A440" s="1">
        <v>13240.5</v>
      </c>
      <c r="B440" s="1">
        <v>9700</v>
      </c>
      <c r="C440" s="1">
        <v>3540.5</v>
      </c>
    </row>
    <row r="441" spans="1:3" x14ac:dyDescent="0.3">
      <c r="A441" s="1">
        <v>30830.799999999999</v>
      </c>
      <c r="B441" s="1">
        <v>16940</v>
      </c>
      <c r="C441" s="1">
        <v>13890.8</v>
      </c>
    </row>
    <row r="442" spans="1:3" x14ac:dyDescent="0.3">
      <c r="A442" s="1">
        <v>12066.6</v>
      </c>
      <c r="B442" s="1">
        <v>6630</v>
      </c>
      <c r="C442" s="1">
        <v>5436.6</v>
      </c>
    </row>
    <row r="443" spans="1:3" x14ac:dyDescent="0.3">
      <c r="A443" s="1">
        <v>5217.03</v>
      </c>
      <c r="B443" s="1">
        <v>4095</v>
      </c>
      <c r="C443" s="1">
        <v>1122.03</v>
      </c>
    </row>
    <row r="444" spans="1:3" x14ac:dyDescent="0.3">
      <c r="A444" s="1">
        <v>17253.599999999999</v>
      </c>
      <c r="B444" s="1">
        <v>4740</v>
      </c>
      <c r="C444" s="1">
        <v>12513.599999999999</v>
      </c>
    </row>
    <row r="445" spans="1:3" x14ac:dyDescent="0.3">
      <c r="A445" s="1">
        <v>3318.77</v>
      </c>
      <c r="B445" s="1">
        <v>2605</v>
      </c>
      <c r="C445" s="1">
        <v>713.77</v>
      </c>
    </row>
    <row r="446" spans="1:3" x14ac:dyDescent="0.3">
      <c r="A446" s="1">
        <v>17708.599999999999</v>
      </c>
      <c r="B446" s="1">
        <v>9730</v>
      </c>
      <c r="C446" s="1">
        <v>7978.5999999999985</v>
      </c>
    </row>
    <row r="447" spans="1:3" x14ac:dyDescent="0.3">
      <c r="A447" s="1">
        <v>18891.599999999999</v>
      </c>
      <c r="B447" s="1">
        <v>10380</v>
      </c>
      <c r="C447" s="1">
        <v>8511.5999999999985</v>
      </c>
    </row>
    <row r="448" spans="1:3" x14ac:dyDescent="0.3">
      <c r="A448" s="1">
        <v>2293.1999999999998</v>
      </c>
      <c r="B448" s="1">
        <v>1800</v>
      </c>
      <c r="C448" s="1">
        <v>493.19999999999982</v>
      </c>
    </row>
    <row r="449" spans="1:3" x14ac:dyDescent="0.3">
      <c r="A449" s="1">
        <v>21479.64</v>
      </c>
      <c r="B449" s="1">
        <v>5901</v>
      </c>
      <c r="C449" s="1">
        <v>15578.64</v>
      </c>
    </row>
    <row r="450" spans="1:3" x14ac:dyDescent="0.3">
      <c r="A450" s="1">
        <v>35872.199999999997</v>
      </c>
      <c r="B450" s="1">
        <v>26280</v>
      </c>
      <c r="C450" s="1">
        <v>9592.1999999999971</v>
      </c>
    </row>
    <row r="451" spans="1:3" x14ac:dyDescent="0.3">
      <c r="A451" s="1">
        <v>2293.1999999999998</v>
      </c>
      <c r="B451" s="1">
        <v>1800</v>
      </c>
      <c r="C451" s="1">
        <v>493.19999999999982</v>
      </c>
    </row>
    <row r="452" spans="1:3" x14ac:dyDescent="0.3">
      <c r="A452" s="1">
        <v>48812.4</v>
      </c>
      <c r="B452" s="1">
        <v>26820</v>
      </c>
      <c r="C452" s="1">
        <v>21992.400000000001</v>
      </c>
    </row>
    <row r="453" spans="1:3" x14ac:dyDescent="0.3">
      <c r="A453" s="1">
        <v>3318.77</v>
      </c>
      <c r="B453" s="1">
        <v>2605</v>
      </c>
      <c r="C453" s="1">
        <v>713.77</v>
      </c>
    </row>
    <row r="454" spans="1:3" x14ac:dyDescent="0.3">
      <c r="A454" s="1">
        <v>18891.599999999999</v>
      </c>
      <c r="B454" s="1">
        <v>10380</v>
      </c>
      <c r="C454" s="1">
        <v>8511.5999999999985</v>
      </c>
    </row>
    <row r="455" spans="1:3" x14ac:dyDescent="0.3">
      <c r="A455" s="1">
        <v>22256.324999999997</v>
      </c>
      <c r="B455" s="1">
        <v>16305</v>
      </c>
      <c r="C455" s="1">
        <v>5951.3249999999989</v>
      </c>
    </row>
    <row r="456" spans="1:3" x14ac:dyDescent="0.3">
      <c r="A456" s="1">
        <v>3341.52</v>
      </c>
      <c r="B456" s="1">
        <v>918</v>
      </c>
      <c r="C456" s="1">
        <v>2423.52</v>
      </c>
    </row>
    <row r="457" spans="1:3" x14ac:dyDescent="0.3">
      <c r="A457" s="1">
        <v>4168.8</v>
      </c>
      <c r="B457" s="1">
        <v>1158</v>
      </c>
      <c r="C457" s="1">
        <v>3010.8</v>
      </c>
    </row>
    <row r="458" spans="1:3" x14ac:dyDescent="0.3">
      <c r="A458" s="1">
        <v>14666.4</v>
      </c>
      <c r="B458" s="1">
        <v>11640</v>
      </c>
      <c r="C458" s="1">
        <v>3026.3999999999996</v>
      </c>
    </row>
    <row r="459" spans="1:3" x14ac:dyDescent="0.3">
      <c r="A459" s="1">
        <v>4168.8</v>
      </c>
      <c r="B459" s="1">
        <v>1158</v>
      </c>
      <c r="C459" s="1">
        <v>3010.8</v>
      </c>
    </row>
    <row r="460" spans="1:3" x14ac:dyDescent="0.3">
      <c r="A460" s="1">
        <v>387618.75</v>
      </c>
      <c r="B460" s="1">
        <v>413460</v>
      </c>
      <c r="C460" s="1">
        <v>-25841.25</v>
      </c>
    </row>
    <row r="461" spans="1:3" x14ac:dyDescent="0.3">
      <c r="A461" s="1">
        <v>166725</v>
      </c>
      <c r="B461" s="1">
        <v>177840</v>
      </c>
      <c r="C461" s="1">
        <v>-11115</v>
      </c>
    </row>
    <row r="462" spans="1:3" x14ac:dyDescent="0.3">
      <c r="A462" s="1">
        <v>728595</v>
      </c>
      <c r="B462" s="1">
        <v>601380</v>
      </c>
      <c r="C462" s="1">
        <v>127215</v>
      </c>
    </row>
    <row r="463" spans="1:3" x14ac:dyDescent="0.3">
      <c r="A463" s="1">
        <v>202950</v>
      </c>
      <c r="B463" s="1">
        <v>216480</v>
      </c>
      <c r="C463" s="1">
        <v>-13530</v>
      </c>
    </row>
    <row r="464" spans="1:3" x14ac:dyDescent="0.3">
      <c r="A464" s="1">
        <v>27972</v>
      </c>
      <c r="B464" s="1">
        <v>20720</v>
      </c>
      <c r="C464" s="1">
        <v>7252</v>
      </c>
    </row>
    <row r="465" spans="1:3" x14ac:dyDescent="0.3">
      <c r="A465" s="1">
        <v>35172</v>
      </c>
      <c r="B465" s="1">
        <v>19540</v>
      </c>
      <c r="C465" s="1">
        <v>15632</v>
      </c>
    </row>
    <row r="466" spans="1:3" x14ac:dyDescent="0.3">
      <c r="A466" s="1">
        <v>159570</v>
      </c>
      <c r="B466" s="1">
        <v>147750</v>
      </c>
      <c r="C466" s="1">
        <v>11820</v>
      </c>
    </row>
    <row r="467" spans="1:3" x14ac:dyDescent="0.3">
      <c r="A467" s="1">
        <v>29254.5</v>
      </c>
      <c r="B467" s="1">
        <v>21670</v>
      </c>
      <c r="C467" s="1">
        <v>7584.5</v>
      </c>
    </row>
    <row r="468" spans="1:3" x14ac:dyDescent="0.3">
      <c r="A468" s="1">
        <v>4338</v>
      </c>
      <c r="B468" s="1">
        <v>2410</v>
      </c>
      <c r="C468" s="1">
        <v>1928</v>
      </c>
    </row>
    <row r="469" spans="1:3" x14ac:dyDescent="0.3">
      <c r="A469" s="1">
        <v>9193.5</v>
      </c>
      <c r="B469" s="1">
        <v>6810</v>
      </c>
      <c r="C469" s="1">
        <v>2383.5</v>
      </c>
    </row>
    <row r="470" spans="1:3" x14ac:dyDescent="0.3">
      <c r="A470" s="1">
        <v>6885</v>
      </c>
      <c r="B470" s="1">
        <v>5100</v>
      </c>
      <c r="C470" s="1">
        <v>1785</v>
      </c>
    </row>
    <row r="471" spans="1:3" x14ac:dyDescent="0.3">
      <c r="A471" s="1">
        <v>10665</v>
      </c>
      <c r="B471" s="1">
        <v>7900</v>
      </c>
      <c r="C471" s="1">
        <v>2765</v>
      </c>
    </row>
    <row r="472" spans="1:3" x14ac:dyDescent="0.3">
      <c r="A472" s="1">
        <v>201285</v>
      </c>
      <c r="B472" s="1">
        <v>166140</v>
      </c>
      <c r="C472" s="1">
        <v>35145</v>
      </c>
    </row>
    <row r="473" spans="1:3" x14ac:dyDescent="0.3">
      <c r="A473" s="1">
        <v>179550</v>
      </c>
      <c r="B473" s="1">
        <v>191520</v>
      </c>
      <c r="C473" s="1">
        <v>-11970</v>
      </c>
    </row>
    <row r="474" spans="1:3" x14ac:dyDescent="0.3">
      <c r="A474" s="1">
        <v>619380</v>
      </c>
      <c r="B474" s="1">
        <v>573500</v>
      </c>
      <c r="C474" s="1">
        <v>45880</v>
      </c>
    </row>
    <row r="475" spans="1:3" x14ac:dyDescent="0.3">
      <c r="A475" s="1">
        <v>4338</v>
      </c>
      <c r="B475" s="1">
        <v>2410</v>
      </c>
      <c r="C475" s="1">
        <v>1928</v>
      </c>
    </row>
    <row r="476" spans="1:3" x14ac:dyDescent="0.3">
      <c r="A476" s="1">
        <v>16789.5</v>
      </c>
      <c r="B476" s="1">
        <v>13325</v>
      </c>
      <c r="C476" s="1">
        <v>3464.5</v>
      </c>
    </row>
    <row r="477" spans="1:3" x14ac:dyDescent="0.3">
      <c r="A477" s="1">
        <v>215550</v>
      </c>
      <c r="B477" s="1">
        <v>229920</v>
      </c>
      <c r="C477" s="1">
        <v>-14370</v>
      </c>
    </row>
    <row r="478" spans="1:3" x14ac:dyDescent="0.3">
      <c r="A478" s="1">
        <v>230310</v>
      </c>
      <c r="B478" s="1">
        <v>213250</v>
      </c>
      <c r="C478" s="1">
        <v>17060</v>
      </c>
    </row>
    <row r="479" spans="1:3" x14ac:dyDescent="0.3">
      <c r="A479" s="1">
        <v>38362.5</v>
      </c>
      <c r="B479" s="1">
        <v>40920</v>
      </c>
      <c r="C479" s="1">
        <v>-2557.5</v>
      </c>
    </row>
    <row r="480" spans="1:3" x14ac:dyDescent="0.3">
      <c r="A480" s="1">
        <v>8653.5</v>
      </c>
      <c r="B480" s="1">
        <v>6410</v>
      </c>
      <c r="C480" s="1">
        <v>2243.5</v>
      </c>
    </row>
    <row r="481" spans="1:3" x14ac:dyDescent="0.3">
      <c r="A481" s="1">
        <v>884205</v>
      </c>
      <c r="B481" s="1">
        <v>729820</v>
      </c>
      <c r="C481" s="1">
        <v>154385</v>
      </c>
    </row>
    <row r="482" spans="1:3" x14ac:dyDescent="0.3">
      <c r="A482" s="1">
        <v>116640</v>
      </c>
      <c r="B482" s="1">
        <v>108000</v>
      </c>
      <c r="C482" s="1">
        <v>8640</v>
      </c>
    </row>
    <row r="483" spans="1:3" x14ac:dyDescent="0.3">
      <c r="A483" s="1">
        <v>619380</v>
      </c>
      <c r="B483" s="1">
        <v>573500</v>
      </c>
      <c r="C483" s="1">
        <v>45880</v>
      </c>
    </row>
    <row r="484" spans="1:3" x14ac:dyDescent="0.3">
      <c r="A484" s="1">
        <v>29254.5</v>
      </c>
      <c r="B484" s="1">
        <v>21670</v>
      </c>
      <c r="C484" s="1">
        <v>7584.5</v>
      </c>
    </row>
    <row r="485" spans="1:3" x14ac:dyDescent="0.3">
      <c r="A485" s="1">
        <v>284512.5</v>
      </c>
      <c r="B485" s="1">
        <v>303480</v>
      </c>
      <c r="C485" s="1">
        <v>-18967.5</v>
      </c>
    </row>
    <row r="486" spans="1:3" x14ac:dyDescent="0.3">
      <c r="A486" s="1">
        <v>589050</v>
      </c>
      <c r="B486" s="1">
        <v>486200</v>
      </c>
      <c r="C486" s="1">
        <v>102850</v>
      </c>
    </row>
    <row r="487" spans="1:3" x14ac:dyDescent="0.3">
      <c r="A487" s="1">
        <v>65137.5</v>
      </c>
      <c r="B487" s="1">
        <v>69480</v>
      </c>
      <c r="C487" s="1">
        <v>-4342.5</v>
      </c>
    </row>
    <row r="488" spans="1:3" x14ac:dyDescent="0.3">
      <c r="A488" s="1">
        <v>705600</v>
      </c>
      <c r="B488" s="1">
        <v>582400</v>
      </c>
      <c r="C488" s="1">
        <v>123200</v>
      </c>
    </row>
    <row r="489" spans="1:3" x14ac:dyDescent="0.3">
      <c r="A489" s="1">
        <v>808110</v>
      </c>
      <c r="B489" s="1">
        <v>748250</v>
      </c>
      <c r="C489" s="1">
        <v>59860</v>
      </c>
    </row>
    <row r="490" spans="1:3" x14ac:dyDescent="0.3">
      <c r="A490" s="1">
        <v>38021.399999999994</v>
      </c>
      <c r="B490" s="1">
        <v>10561.5</v>
      </c>
      <c r="C490" s="1">
        <v>27459.899999999998</v>
      </c>
    </row>
    <row r="491" spans="1:3" x14ac:dyDescent="0.3">
      <c r="A491" s="1">
        <v>36702</v>
      </c>
      <c r="B491" s="1">
        <v>20390</v>
      </c>
      <c r="C491" s="1">
        <v>16312</v>
      </c>
    </row>
    <row r="492" spans="1:3" x14ac:dyDescent="0.3">
      <c r="A492" s="1">
        <v>27799.200000000001</v>
      </c>
      <c r="B492" s="1">
        <v>7722</v>
      </c>
      <c r="C492" s="1">
        <v>20077.2</v>
      </c>
    </row>
    <row r="493" spans="1:3" x14ac:dyDescent="0.3">
      <c r="A493" s="1">
        <v>222705</v>
      </c>
      <c r="B493" s="1">
        <v>183820</v>
      </c>
      <c r="C493" s="1">
        <v>38885</v>
      </c>
    </row>
    <row r="494" spans="1:3" x14ac:dyDescent="0.3">
      <c r="A494" s="1">
        <v>27972</v>
      </c>
      <c r="B494" s="1">
        <v>20720</v>
      </c>
      <c r="C494" s="1">
        <v>7252</v>
      </c>
    </row>
    <row r="495" spans="1:3" x14ac:dyDescent="0.3">
      <c r="A495" s="1">
        <v>230310</v>
      </c>
      <c r="B495" s="1">
        <v>213250</v>
      </c>
      <c r="C495" s="1">
        <v>17060</v>
      </c>
    </row>
    <row r="496" spans="1:3" x14ac:dyDescent="0.3">
      <c r="A496" s="1">
        <v>12794.64</v>
      </c>
      <c r="B496" s="1">
        <v>3594</v>
      </c>
      <c r="C496" s="1">
        <v>9200.64</v>
      </c>
    </row>
    <row r="497" spans="1:3" x14ac:dyDescent="0.3">
      <c r="A497" s="1">
        <v>15774.36</v>
      </c>
      <c r="B497" s="1">
        <v>12660</v>
      </c>
      <c r="C497" s="1">
        <v>3114.3599999999997</v>
      </c>
    </row>
    <row r="498" spans="1:3" x14ac:dyDescent="0.3">
      <c r="A498" s="1">
        <v>12794.64</v>
      </c>
      <c r="B498" s="1">
        <v>3594</v>
      </c>
      <c r="C498" s="1">
        <v>9200.64</v>
      </c>
    </row>
    <row r="499" spans="1:3" x14ac:dyDescent="0.3">
      <c r="A499" s="1">
        <v>5126.3999999999996</v>
      </c>
      <c r="B499" s="1">
        <v>3840</v>
      </c>
      <c r="C499" s="1">
        <v>1286.3999999999999</v>
      </c>
    </row>
    <row r="500" spans="1:3" x14ac:dyDescent="0.3">
      <c r="A500" s="1">
        <v>5040.96</v>
      </c>
      <c r="B500" s="1">
        <v>1416</v>
      </c>
      <c r="C500" s="1">
        <v>3624.96</v>
      </c>
    </row>
    <row r="501" spans="1:3" x14ac:dyDescent="0.3">
      <c r="A501" s="1">
        <v>9837.17</v>
      </c>
      <c r="B501" s="1">
        <v>7895</v>
      </c>
      <c r="C501" s="1">
        <v>1942.17</v>
      </c>
    </row>
    <row r="502" spans="1:3" x14ac:dyDescent="0.3">
      <c r="A502" s="1">
        <v>10733.4</v>
      </c>
      <c r="B502" s="1">
        <v>3015</v>
      </c>
      <c r="C502" s="1">
        <v>7718.4</v>
      </c>
    </row>
    <row r="503" spans="1:3" x14ac:dyDescent="0.3">
      <c r="A503" s="1">
        <v>42713.324999999997</v>
      </c>
      <c r="B503" s="1">
        <v>31995</v>
      </c>
      <c r="C503" s="1">
        <v>10718.324999999999</v>
      </c>
    </row>
    <row r="504" spans="1:3" x14ac:dyDescent="0.3">
      <c r="A504" s="1">
        <v>5040.96</v>
      </c>
      <c r="B504" s="1">
        <v>1416</v>
      </c>
      <c r="C504" s="1">
        <v>3624.96</v>
      </c>
    </row>
    <row r="505" spans="1:3" x14ac:dyDescent="0.3">
      <c r="A505" s="1">
        <v>20687.16</v>
      </c>
      <c r="B505" s="1">
        <v>5811</v>
      </c>
      <c r="C505" s="1">
        <v>14876.16</v>
      </c>
    </row>
    <row r="506" spans="1:3" x14ac:dyDescent="0.3">
      <c r="A506" s="1">
        <v>246708</v>
      </c>
      <c r="B506" s="1">
        <v>205920</v>
      </c>
      <c r="C506" s="1">
        <v>40788</v>
      </c>
    </row>
    <row r="507" spans="1:3" x14ac:dyDescent="0.3">
      <c r="A507" s="1">
        <v>750537</v>
      </c>
      <c r="B507" s="1">
        <v>702750</v>
      </c>
      <c r="C507" s="1">
        <v>47787</v>
      </c>
    </row>
    <row r="508" spans="1:3" x14ac:dyDescent="0.3">
      <c r="A508" s="1">
        <v>271561.25</v>
      </c>
      <c r="B508" s="1">
        <v>292920</v>
      </c>
      <c r="C508" s="1">
        <v>-21358.75</v>
      </c>
    </row>
    <row r="509" spans="1:3" x14ac:dyDescent="0.3">
      <c r="A509" s="1">
        <v>20826</v>
      </c>
      <c r="B509" s="1">
        <v>15600</v>
      </c>
      <c r="C509" s="1">
        <v>5226</v>
      </c>
    </row>
    <row r="510" spans="1:3" x14ac:dyDescent="0.3">
      <c r="A510" s="1">
        <v>16858.38</v>
      </c>
      <c r="B510" s="1">
        <v>13530</v>
      </c>
      <c r="C510" s="1">
        <v>3328.380000000001</v>
      </c>
    </row>
    <row r="511" spans="1:3" x14ac:dyDescent="0.3">
      <c r="A511" s="1">
        <v>238609</v>
      </c>
      <c r="B511" s="1">
        <v>199160</v>
      </c>
      <c r="C511" s="1">
        <v>39449</v>
      </c>
    </row>
    <row r="512" spans="1:3" x14ac:dyDescent="0.3">
      <c r="A512" s="1">
        <v>53257.599999999999</v>
      </c>
      <c r="B512" s="1">
        <v>29920</v>
      </c>
      <c r="C512" s="1">
        <v>23337.599999999999</v>
      </c>
    </row>
    <row r="513" spans="1:3" x14ac:dyDescent="0.3">
      <c r="A513" s="1">
        <v>28795.95</v>
      </c>
      <c r="B513" s="1">
        <v>21570</v>
      </c>
      <c r="C513" s="1">
        <v>7225.9500000000007</v>
      </c>
    </row>
    <row r="514" spans="1:3" x14ac:dyDescent="0.3">
      <c r="A514" s="1">
        <v>233091</v>
      </c>
      <c r="B514" s="1">
        <v>218250</v>
      </c>
      <c r="C514" s="1">
        <v>14841</v>
      </c>
    </row>
    <row r="515" spans="1:3" x14ac:dyDescent="0.3">
      <c r="A515" s="1">
        <v>19971.599999999999</v>
      </c>
      <c r="B515" s="1">
        <v>11220</v>
      </c>
      <c r="C515" s="1">
        <v>8751.5999999999985</v>
      </c>
    </row>
    <row r="516" spans="1:3" x14ac:dyDescent="0.3">
      <c r="A516" s="1">
        <v>655551.75</v>
      </c>
      <c r="B516" s="1">
        <v>547170</v>
      </c>
      <c r="C516" s="1">
        <v>108381.75</v>
      </c>
    </row>
    <row r="517" spans="1:3" x14ac:dyDescent="0.3">
      <c r="A517" s="1">
        <v>42997.68</v>
      </c>
      <c r="B517" s="1">
        <v>12078</v>
      </c>
      <c r="C517" s="1">
        <v>30919.68</v>
      </c>
    </row>
    <row r="518" spans="1:3" x14ac:dyDescent="0.3">
      <c r="A518" s="1">
        <v>25904.340000000004</v>
      </c>
      <c r="B518" s="1">
        <v>7276.5</v>
      </c>
      <c r="C518" s="1">
        <v>18627.840000000004</v>
      </c>
    </row>
    <row r="519" spans="1:3" x14ac:dyDescent="0.3">
      <c r="A519" s="1">
        <v>42613.2</v>
      </c>
      <c r="B519" s="1">
        <v>23940</v>
      </c>
      <c r="C519" s="1">
        <v>18673.199999999997</v>
      </c>
    </row>
    <row r="520" spans="1:3" x14ac:dyDescent="0.3">
      <c r="A520" s="1">
        <v>26486.400000000001</v>
      </c>
      <c r="B520" s="1">
        <v>19840</v>
      </c>
      <c r="C520" s="1">
        <v>6646.4000000000015</v>
      </c>
    </row>
    <row r="521" spans="1:3" x14ac:dyDescent="0.3">
      <c r="A521" s="1">
        <v>271561.25</v>
      </c>
      <c r="B521" s="1">
        <v>292920</v>
      </c>
      <c r="C521" s="1">
        <v>-21358.75</v>
      </c>
    </row>
    <row r="522" spans="1:3" x14ac:dyDescent="0.3">
      <c r="A522" s="1">
        <v>53257.599999999999</v>
      </c>
      <c r="B522" s="1">
        <v>29920</v>
      </c>
      <c r="C522" s="1">
        <v>23337.599999999999</v>
      </c>
    </row>
    <row r="523" spans="1:3" x14ac:dyDescent="0.3">
      <c r="A523" s="1">
        <v>364722</v>
      </c>
      <c r="B523" s="1">
        <v>341500</v>
      </c>
      <c r="C523" s="1">
        <v>23222</v>
      </c>
    </row>
    <row r="524" spans="1:3" x14ac:dyDescent="0.3">
      <c r="A524" s="1">
        <v>49929</v>
      </c>
      <c r="B524" s="1">
        <v>28050</v>
      </c>
      <c r="C524" s="1">
        <v>21879</v>
      </c>
    </row>
    <row r="525" spans="1:3" x14ac:dyDescent="0.3">
      <c r="A525" s="1">
        <v>8744.25</v>
      </c>
      <c r="B525" s="1">
        <v>6550</v>
      </c>
      <c r="C525" s="1">
        <v>2194.25</v>
      </c>
    </row>
    <row r="526" spans="1:3" x14ac:dyDescent="0.3">
      <c r="A526" s="1">
        <v>107156</v>
      </c>
      <c r="B526" s="1">
        <v>89440</v>
      </c>
      <c r="C526" s="1">
        <v>17716</v>
      </c>
    </row>
    <row r="527" spans="1:3" x14ac:dyDescent="0.3">
      <c r="A527" s="1">
        <v>11263.84</v>
      </c>
      <c r="B527" s="1">
        <v>9040</v>
      </c>
      <c r="C527" s="1">
        <v>2223.84</v>
      </c>
    </row>
    <row r="528" spans="1:3" x14ac:dyDescent="0.3">
      <c r="A528" s="1">
        <v>18519.12</v>
      </c>
      <c r="B528" s="1">
        <v>5202</v>
      </c>
      <c r="C528" s="1">
        <v>13317.119999999999</v>
      </c>
    </row>
    <row r="529" spans="1:3" x14ac:dyDescent="0.3">
      <c r="A529" s="1">
        <v>61632.5</v>
      </c>
      <c r="B529" s="1">
        <v>66480</v>
      </c>
      <c r="C529" s="1">
        <v>-4847.5</v>
      </c>
    </row>
    <row r="530" spans="1:3" x14ac:dyDescent="0.3">
      <c r="A530" s="1">
        <v>52243</v>
      </c>
      <c r="B530" s="1">
        <v>29350</v>
      </c>
      <c r="C530" s="1">
        <v>22893</v>
      </c>
    </row>
    <row r="531" spans="1:3" x14ac:dyDescent="0.3">
      <c r="A531" s="1">
        <v>352106.25</v>
      </c>
      <c r="B531" s="1">
        <v>379800</v>
      </c>
      <c r="C531" s="1">
        <v>-27693.75</v>
      </c>
    </row>
    <row r="532" spans="1:3" x14ac:dyDescent="0.3">
      <c r="A532" s="1">
        <v>46796.2</v>
      </c>
      <c r="B532" s="1">
        <v>26290</v>
      </c>
      <c r="C532" s="1">
        <v>20506.199999999997</v>
      </c>
    </row>
    <row r="533" spans="1:3" x14ac:dyDescent="0.3">
      <c r="A533" s="1">
        <v>159421.25</v>
      </c>
      <c r="B533" s="1">
        <v>171960</v>
      </c>
      <c r="C533" s="1">
        <v>-12538.75</v>
      </c>
    </row>
    <row r="534" spans="1:3" x14ac:dyDescent="0.3">
      <c r="A534" s="1">
        <v>105353.75</v>
      </c>
      <c r="B534" s="1">
        <v>113640</v>
      </c>
      <c r="C534" s="1">
        <v>-8286.25</v>
      </c>
    </row>
    <row r="535" spans="1:3" x14ac:dyDescent="0.3">
      <c r="A535" s="1">
        <v>107156</v>
      </c>
      <c r="B535" s="1">
        <v>89440</v>
      </c>
      <c r="C535" s="1">
        <v>17716</v>
      </c>
    </row>
    <row r="536" spans="1:3" x14ac:dyDescent="0.3">
      <c r="A536" s="1">
        <v>28795.95</v>
      </c>
      <c r="B536" s="1">
        <v>21570</v>
      </c>
      <c r="C536" s="1">
        <v>7225.9500000000007</v>
      </c>
    </row>
    <row r="537" spans="1:3" x14ac:dyDescent="0.3">
      <c r="A537" s="1">
        <v>2367.4</v>
      </c>
      <c r="B537" s="1">
        <v>1900</v>
      </c>
      <c r="C537" s="1">
        <v>467.40000000000009</v>
      </c>
    </row>
    <row r="538" spans="1:3" x14ac:dyDescent="0.3">
      <c r="A538" s="1">
        <v>272888</v>
      </c>
      <c r="B538" s="1">
        <v>230360</v>
      </c>
      <c r="C538" s="1">
        <v>42528</v>
      </c>
    </row>
    <row r="539" spans="1:3" x14ac:dyDescent="0.3">
      <c r="A539" s="1">
        <v>265760</v>
      </c>
      <c r="B539" s="1">
        <v>289920</v>
      </c>
      <c r="C539" s="1">
        <v>-24160</v>
      </c>
    </row>
    <row r="540" spans="1:3" x14ac:dyDescent="0.3">
      <c r="A540" s="1">
        <v>237160</v>
      </c>
      <c r="B540" s="1">
        <v>258720</v>
      </c>
      <c r="C540" s="1">
        <v>-21560</v>
      </c>
    </row>
    <row r="541" spans="1:3" x14ac:dyDescent="0.3">
      <c r="A541" s="1">
        <v>35494.800000000003</v>
      </c>
      <c r="B541" s="1">
        <v>26890</v>
      </c>
      <c r="C541" s="1">
        <v>8604.8000000000029</v>
      </c>
    </row>
    <row r="542" spans="1:3" x14ac:dyDescent="0.3">
      <c r="A542" s="1">
        <v>8936.4</v>
      </c>
      <c r="B542" s="1">
        <v>6770</v>
      </c>
      <c r="C542" s="1">
        <v>2166.3999999999996</v>
      </c>
    </row>
    <row r="543" spans="1:3" x14ac:dyDescent="0.3">
      <c r="A543" s="1">
        <v>468072</v>
      </c>
      <c r="B543" s="1">
        <v>443250</v>
      </c>
      <c r="C543" s="1">
        <v>24822</v>
      </c>
    </row>
    <row r="544" spans="1:3" x14ac:dyDescent="0.3">
      <c r="A544" s="1">
        <v>14907.2</v>
      </c>
      <c r="B544" s="1">
        <v>12100</v>
      </c>
      <c r="C544" s="1">
        <v>2807.2000000000007</v>
      </c>
    </row>
    <row r="545" spans="1:3" x14ac:dyDescent="0.3">
      <c r="A545" s="1">
        <v>16841.439999999999</v>
      </c>
      <c r="B545" s="1">
        <v>13670</v>
      </c>
      <c r="C545" s="1">
        <v>3171.4399999999987</v>
      </c>
    </row>
    <row r="546" spans="1:3" x14ac:dyDescent="0.3">
      <c r="A546" s="1">
        <v>30184</v>
      </c>
      <c r="B546" s="1">
        <v>17150</v>
      </c>
      <c r="C546" s="1">
        <v>13034</v>
      </c>
    </row>
    <row r="547" spans="1:3" x14ac:dyDescent="0.3">
      <c r="A547" s="1">
        <v>313104</v>
      </c>
      <c r="B547" s="1">
        <v>296500</v>
      </c>
      <c r="C547" s="1">
        <v>16604</v>
      </c>
    </row>
    <row r="548" spans="1:3" x14ac:dyDescent="0.3">
      <c r="A548" s="1">
        <v>922680</v>
      </c>
      <c r="B548" s="1">
        <v>873750</v>
      </c>
      <c r="C548" s="1">
        <v>48930</v>
      </c>
    </row>
    <row r="549" spans="1:3" x14ac:dyDescent="0.3">
      <c r="A549" s="1">
        <v>272888</v>
      </c>
      <c r="B549" s="1">
        <v>230360</v>
      </c>
      <c r="C549" s="1">
        <v>42528</v>
      </c>
    </row>
    <row r="550" spans="1:3" x14ac:dyDescent="0.3">
      <c r="A550" s="1">
        <v>237160</v>
      </c>
      <c r="B550" s="1">
        <v>258720</v>
      </c>
      <c r="C550" s="1">
        <v>-21560</v>
      </c>
    </row>
    <row r="551" spans="1:3" x14ac:dyDescent="0.3">
      <c r="A551" s="1">
        <v>15928</v>
      </c>
      <c r="B551" s="1">
        <v>9050</v>
      </c>
      <c r="C551" s="1">
        <v>6878</v>
      </c>
    </row>
    <row r="552" spans="1:3" x14ac:dyDescent="0.3">
      <c r="A552" s="1">
        <v>30184</v>
      </c>
      <c r="B552" s="1">
        <v>17150</v>
      </c>
      <c r="C552" s="1">
        <v>13034</v>
      </c>
    </row>
    <row r="553" spans="1:3" x14ac:dyDescent="0.3">
      <c r="A553" s="1">
        <v>490952</v>
      </c>
      <c r="B553" s="1">
        <v>414440</v>
      </c>
      <c r="C553" s="1">
        <v>76512</v>
      </c>
    </row>
    <row r="554" spans="1:3" x14ac:dyDescent="0.3">
      <c r="A554" s="1">
        <v>358776</v>
      </c>
      <c r="B554" s="1">
        <v>339750</v>
      </c>
      <c r="C554" s="1">
        <v>19026</v>
      </c>
    </row>
    <row r="555" spans="1:3" x14ac:dyDescent="0.3">
      <c r="A555" s="1">
        <v>567600</v>
      </c>
      <c r="B555" s="1">
        <v>537500</v>
      </c>
      <c r="C555" s="1">
        <v>30100</v>
      </c>
    </row>
    <row r="556" spans="1:3" x14ac:dyDescent="0.3">
      <c r="A556" s="1">
        <v>368676</v>
      </c>
      <c r="B556" s="1">
        <v>311220</v>
      </c>
      <c r="C556" s="1">
        <v>57456</v>
      </c>
    </row>
    <row r="557" spans="1:3" x14ac:dyDescent="0.3">
      <c r="A557" s="1">
        <v>5016</v>
      </c>
      <c r="B557" s="1">
        <v>3800</v>
      </c>
      <c r="C557" s="1">
        <v>1216</v>
      </c>
    </row>
    <row r="558" spans="1:3" x14ac:dyDescent="0.3">
      <c r="A558" s="1">
        <v>21700.799999999999</v>
      </c>
      <c r="B558" s="1">
        <v>12330</v>
      </c>
      <c r="C558" s="1">
        <v>9370.7999999999993</v>
      </c>
    </row>
    <row r="559" spans="1:3" x14ac:dyDescent="0.3">
      <c r="A559" s="1">
        <v>429660</v>
      </c>
      <c r="B559" s="1">
        <v>362700</v>
      </c>
      <c r="C559" s="1">
        <v>66960</v>
      </c>
    </row>
    <row r="560" spans="1:3" x14ac:dyDescent="0.3">
      <c r="A560" s="1">
        <v>303688</v>
      </c>
      <c r="B560" s="1">
        <v>256360</v>
      </c>
      <c r="C560" s="1">
        <v>47328</v>
      </c>
    </row>
    <row r="561" spans="1:3" x14ac:dyDescent="0.3">
      <c r="A561" s="1">
        <v>15928</v>
      </c>
      <c r="B561" s="1">
        <v>9050</v>
      </c>
      <c r="C561" s="1">
        <v>6878</v>
      </c>
    </row>
    <row r="562" spans="1:3" x14ac:dyDescent="0.3">
      <c r="A562" s="1">
        <v>22271.040000000001</v>
      </c>
      <c r="B562" s="1">
        <v>6327</v>
      </c>
      <c r="C562" s="1">
        <v>15944.04</v>
      </c>
    </row>
    <row r="563" spans="1:3" x14ac:dyDescent="0.3">
      <c r="A563" s="1">
        <v>51143.399999999994</v>
      </c>
      <c r="B563" s="1">
        <v>38745</v>
      </c>
      <c r="C563" s="1">
        <v>12398.399999999998</v>
      </c>
    </row>
    <row r="564" spans="1:3" x14ac:dyDescent="0.3">
      <c r="A564" s="1">
        <v>191884</v>
      </c>
      <c r="B564" s="1">
        <v>161980</v>
      </c>
      <c r="C564" s="1">
        <v>29904</v>
      </c>
    </row>
    <row r="565" spans="1:3" x14ac:dyDescent="0.3">
      <c r="A565" s="1">
        <v>303688</v>
      </c>
      <c r="B565" s="1">
        <v>256360</v>
      </c>
      <c r="C565" s="1">
        <v>47328</v>
      </c>
    </row>
    <row r="566" spans="1:3" x14ac:dyDescent="0.3">
      <c r="A566" s="1">
        <v>262570</v>
      </c>
      <c r="B566" s="1">
        <v>286440</v>
      </c>
      <c r="C566" s="1">
        <v>-23870</v>
      </c>
    </row>
    <row r="567" spans="1:3" x14ac:dyDescent="0.3">
      <c r="A567" s="1">
        <v>21700.799999999999</v>
      </c>
      <c r="B567" s="1">
        <v>12330</v>
      </c>
      <c r="C567" s="1">
        <v>9370.7999999999993</v>
      </c>
    </row>
    <row r="568" spans="1:3" x14ac:dyDescent="0.3">
      <c r="A568" s="1">
        <v>83160</v>
      </c>
      <c r="B568" s="1">
        <v>70200</v>
      </c>
      <c r="C568" s="1">
        <v>12960</v>
      </c>
    </row>
    <row r="569" spans="1:3" x14ac:dyDescent="0.3">
      <c r="A569" s="1">
        <v>21076.44</v>
      </c>
      <c r="B569" s="1">
        <v>17107.5</v>
      </c>
      <c r="C569" s="1">
        <v>3968.9399999999987</v>
      </c>
    </row>
    <row r="570" spans="1:3" x14ac:dyDescent="0.3">
      <c r="A570" s="1">
        <v>16841.439999999999</v>
      </c>
      <c r="B570" s="1">
        <v>13670</v>
      </c>
      <c r="C570" s="1">
        <v>3171.4399999999987</v>
      </c>
    </row>
    <row r="571" spans="1:3" x14ac:dyDescent="0.3">
      <c r="A571" s="1">
        <v>33633.599999999999</v>
      </c>
      <c r="B571" s="1">
        <v>25480</v>
      </c>
      <c r="C571" s="1">
        <v>8153.5999999999985</v>
      </c>
    </row>
    <row r="572" spans="1:3" x14ac:dyDescent="0.3">
      <c r="A572" s="1">
        <v>44378.399999999994</v>
      </c>
      <c r="B572" s="1">
        <v>25215</v>
      </c>
      <c r="C572" s="1">
        <v>19163.399999999998</v>
      </c>
    </row>
    <row r="573" spans="1:3" x14ac:dyDescent="0.3">
      <c r="A573" s="1">
        <v>28100.16</v>
      </c>
      <c r="B573" s="1">
        <v>7983</v>
      </c>
      <c r="C573" s="1">
        <v>20117.16</v>
      </c>
    </row>
    <row r="574" spans="1:3" x14ac:dyDescent="0.3">
      <c r="A574" s="1">
        <v>26945.599999999999</v>
      </c>
      <c r="B574" s="1">
        <v>15310</v>
      </c>
      <c r="C574" s="1">
        <v>11635.599999999999</v>
      </c>
    </row>
    <row r="575" spans="1:3" x14ac:dyDescent="0.3">
      <c r="A575" s="1">
        <v>9184.56</v>
      </c>
      <c r="B575" s="1">
        <v>7455</v>
      </c>
      <c r="C575" s="1">
        <v>1729.5599999999995</v>
      </c>
    </row>
    <row r="576" spans="1:3" x14ac:dyDescent="0.3">
      <c r="A576" s="1">
        <v>26945.599999999999</v>
      </c>
      <c r="B576" s="1">
        <v>15310</v>
      </c>
      <c r="C576" s="1">
        <v>11635.599999999999</v>
      </c>
    </row>
    <row r="577" spans="1:3" x14ac:dyDescent="0.3">
      <c r="A577" s="1">
        <v>29156.16</v>
      </c>
      <c r="B577" s="1">
        <v>8283</v>
      </c>
      <c r="C577" s="1">
        <v>20873.16</v>
      </c>
    </row>
    <row r="578" spans="1:3" x14ac:dyDescent="0.3">
      <c r="A578" s="1">
        <v>33499.35</v>
      </c>
      <c r="B578" s="1">
        <v>25670</v>
      </c>
      <c r="C578" s="1">
        <v>7829.3499999999985</v>
      </c>
    </row>
    <row r="579" spans="1:3" x14ac:dyDescent="0.3">
      <c r="A579" s="1">
        <v>33499.35</v>
      </c>
      <c r="B579" s="1">
        <v>25670</v>
      </c>
      <c r="C579" s="1">
        <v>7829.3499999999985</v>
      </c>
    </row>
    <row r="580" spans="1:3" x14ac:dyDescent="0.3">
      <c r="A580" s="1">
        <v>281053.5</v>
      </c>
      <c r="B580" s="1">
        <v>239980</v>
      </c>
      <c r="C580" s="1">
        <v>41073.5</v>
      </c>
    </row>
    <row r="581" spans="1:3" x14ac:dyDescent="0.3">
      <c r="A581" s="1">
        <v>545055</v>
      </c>
      <c r="B581" s="1">
        <v>465400</v>
      </c>
      <c r="C581" s="1">
        <v>79655</v>
      </c>
    </row>
    <row r="582" spans="1:3" x14ac:dyDescent="0.3">
      <c r="A582" s="1">
        <v>7690.8</v>
      </c>
      <c r="B582" s="1">
        <v>4420</v>
      </c>
      <c r="C582" s="1">
        <v>3270.8</v>
      </c>
    </row>
    <row r="583" spans="1:3" x14ac:dyDescent="0.3">
      <c r="A583" s="1">
        <v>299171.25</v>
      </c>
      <c r="B583" s="1">
        <v>255450</v>
      </c>
      <c r="C583" s="1">
        <v>43721.25</v>
      </c>
    </row>
    <row r="584" spans="1:3" x14ac:dyDescent="0.3">
      <c r="A584" s="1">
        <v>7904.82</v>
      </c>
      <c r="B584" s="1">
        <v>6490</v>
      </c>
      <c r="C584" s="1">
        <v>1414.8199999999997</v>
      </c>
    </row>
    <row r="585" spans="1:3" x14ac:dyDescent="0.3">
      <c r="A585" s="1">
        <v>6305.76</v>
      </c>
      <c r="B585" s="1">
        <v>1812</v>
      </c>
      <c r="C585" s="1">
        <v>4493.76</v>
      </c>
    </row>
    <row r="586" spans="1:3" x14ac:dyDescent="0.3">
      <c r="A586" s="1">
        <v>39237</v>
      </c>
      <c r="B586" s="1">
        <v>22550</v>
      </c>
      <c r="C586" s="1">
        <v>16687</v>
      </c>
    </row>
    <row r="587" spans="1:3" x14ac:dyDescent="0.3">
      <c r="A587" s="1">
        <v>21732.6</v>
      </c>
      <c r="B587" s="1">
        <v>12490</v>
      </c>
      <c r="C587" s="1">
        <v>9242.5999999999985</v>
      </c>
    </row>
    <row r="588" spans="1:3" x14ac:dyDescent="0.3">
      <c r="A588" s="1">
        <v>8760.4650000000001</v>
      </c>
      <c r="B588" s="1">
        <v>7192.5</v>
      </c>
      <c r="C588" s="1">
        <v>1567.9649999999992</v>
      </c>
    </row>
    <row r="589" spans="1:3" x14ac:dyDescent="0.3">
      <c r="A589" s="1">
        <v>210627</v>
      </c>
      <c r="B589" s="1">
        <v>201750</v>
      </c>
      <c r="C589" s="1">
        <v>8877</v>
      </c>
    </row>
    <row r="590" spans="1:3" x14ac:dyDescent="0.3">
      <c r="A590" s="1">
        <v>45953.4</v>
      </c>
      <c r="B590" s="1">
        <v>26410</v>
      </c>
      <c r="C590" s="1">
        <v>19543.400000000001</v>
      </c>
    </row>
    <row r="591" spans="1:3" x14ac:dyDescent="0.3">
      <c r="A591" s="1">
        <v>47119.199999999997</v>
      </c>
      <c r="B591" s="1">
        <v>27080</v>
      </c>
      <c r="C591" s="1">
        <v>20039.199999999997</v>
      </c>
    </row>
    <row r="592" spans="1:3" x14ac:dyDescent="0.3">
      <c r="A592" s="1">
        <v>801444</v>
      </c>
      <c r="B592" s="1">
        <v>684320</v>
      </c>
      <c r="C592" s="1">
        <v>117124</v>
      </c>
    </row>
    <row r="593" spans="1:3" x14ac:dyDescent="0.3">
      <c r="A593" s="1">
        <v>172151.25</v>
      </c>
      <c r="B593" s="1">
        <v>189960</v>
      </c>
      <c r="C593" s="1">
        <v>-17808.75</v>
      </c>
    </row>
    <row r="594" spans="1:3" x14ac:dyDescent="0.3">
      <c r="A594" s="1">
        <v>5961.24</v>
      </c>
      <c r="B594" s="1">
        <v>1713</v>
      </c>
      <c r="C594" s="1">
        <v>4248.24</v>
      </c>
    </row>
    <row r="595" spans="1:3" x14ac:dyDescent="0.3">
      <c r="A595" s="1">
        <v>16418.64</v>
      </c>
      <c r="B595" s="1">
        <v>13480</v>
      </c>
      <c r="C595" s="1">
        <v>2938.6399999999994</v>
      </c>
    </row>
    <row r="596" spans="1:3" x14ac:dyDescent="0.3">
      <c r="A596" s="1">
        <v>20423.25</v>
      </c>
      <c r="B596" s="1">
        <v>15650</v>
      </c>
      <c r="C596" s="1">
        <v>4773.25</v>
      </c>
    </row>
    <row r="597" spans="1:3" x14ac:dyDescent="0.3">
      <c r="A597" s="1">
        <v>21732.6</v>
      </c>
      <c r="B597" s="1">
        <v>12490</v>
      </c>
      <c r="C597" s="1">
        <v>9242.5999999999985</v>
      </c>
    </row>
    <row r="598" spans="1:3" x14ac:dyDescent="0.3">
      <c r="A598" s="1">
        <v>108706.5</v>
      </c>
      <c r="B598" s="1">
        <v>92820</v>
      </c>
      <c r="C598" s="1">
        <v>15886.5</v>
      </c>
    </row>
    <row r="599" spans="1:3" x14ac:dyDescent="0.3">
      <c r="A599" s="1">
        <v>10575.72</v>
      </c>
      <c r="B599" s="1">
        <v>3039</v>
      </c>
      <c r="C599" s="1">
        <v>7536.7199999999993</v>
      </c>
    </row>
    <row r="600" spans="1:3" x14ac:dyDescent="0.3">
      <c r="A600" s="1">
        <v>52167.375</v>
      </c>
      <c r="B600" s="1">
        <v>39975</v>
      </c>
      <c r="C600" s="1">
        <v>12192.375</v>
      </c>
    </row>
    <row r="601" spans="1:3" x14ac:dyDescent="0.3">
      <c r="A601" s="1">
        <v>801444</v>
      </c>
      <c r="B601" s="1">
        <v>684320</v>
      </c>
      <c r="C601" s="1">
        <v>117124</v>
      </c>
    </row>
    <row r="602" spans="1:3" x14ac:dyDescent="0.3">
      <c r="A602" s="1">
        <v>7247.1</v>
      </c>
      <c r="B602" s="1">
        <v>5950</v>
      </c>
      <c r="C602" s="1">
        <v>1297.1000000000004</v>
      </c>
    </row>
    <row r="603" spans="1:3" x14ac:dyDescent="0.3">
      <c r="A603" s="1">
        <v>6305.76</v>
      </c>
      <c r="B603" s="1">
        <v>1812</v>
      </c>
      <c r="C603" s="1">
        <v>4493.76</v>
      </c>
    </row>
    <row r="604" spans="1:3" x14ac:dyDescent="0.3">
      <c r="A604" s="1">
        <v>8613</v>
      </c>
      <c r="B604" s="1">
        <v>6600</v>
      </c>
      <c r="C604" s="1">
        <v>2013</v>
      </c>
    </row>
    <row r="605" spans="1:3" x14ac:dyDescent="0.3">
      <c r="A605" s="1">
        <v>4280.3999999999996</v>
      </c>
      <c r="B605" s="1">
        <v>1230</v>
      </c>
      <c r="C605" s="1">
        <v>3050.3999999999996</v>
      </c>
    </row>
    <row r="606" spans="1:3" x14ac:dyDescent="0.3">
      <c r="A606" s="1">
        <v>679905</v>
      </c>
      <c r="B606" s="1">
        <v>651250</v>
      </c>
      <c r="C606" s="1">
        <v>28655</v>
      </c>
    </row>
    <row r="607" spans="1:3" x14ac:dyDescent="0.3">
      <c r="A607" s="1">
        <v>10575.72</v>
      </c>
      <c r="B607" s="1">
        <v>3039</v>
      </c>
      <c r="C607" s="1">
        <v>7536.7199999999993</v>
      </c>
    </row>
    <row r="608" spans="1:3" x14ac:dyDescent="0.3">
      <c r="A608" s="1">
        <v>172151.25</v>
      </c>
      <c r="B608" s="1">
        <v>189960</v>
      </c>
      <c r="C608" s="1">
        <v>-17808.75</v>
      </c>
    </row>
    <row r="609" spans="1:3" x14ac:dyDescent="0.3">
      <c r="A609" s="1">
        <v>20423.25</v>
      </c>
      <c r="B609" s="1">
        <v>15650</v>
      </c>
      <c r="C609" s="1">
        <v>4773.25</v>
      </c>
    </row>
    <row r="610" spans="1:3" x14ac:dyDescent="0.3">
      <c r="A610" s="1">
        <v>180416.25</v>
      </c>
      <c r="B610" s="1">
        <v>199080</v>
      </c>
      <c r="C610" s="1">
        <v>-18663.75</v>
      </c>
    </row>
    <row r="611" spans="1:3" x14ac:dyDescent="0.3">
      <c r="A611" s="1">
        <v>7247.1</v>
      </c>
      <c r="B611" s="1">
        <v>5950</v>
      </c>
      <c r="C611" s="1">
        <v>1297.1000000000004</v>
      </c>
    </row>
    <row r="612" spans="1:3" x14ac:dyDescent="0.3">
      <c r="A612" s="1">
        <v>4280.3999999999996</v>
      </c>
      <c r="B612" s="1">
        <v>1230</v>
      </c>
      <c r="C612" s="1">
        <v>3050.3999999999996</v>
      </c>
    </row>
    <row r="613" spans="1:3" x14ac:dyDescent="0.3">
      <c r="A613" s="1">
        <v>18478.8</v>
      </c>
      <c r="B613" s="1">
        <v>5310</v>
      </c>
      <c r="C613" s="1">
        <v>13168.8</v>
      </c>
    </row>
    <row r="614" spans="1:3" x14ac:dyDescent="0.3">
      <c r="A614" s="1">
        <v>44358.8</v>
      </c>
      <c r="B614" s="1">
        <v>25790</v>
      </c>
      <c r="C614" s="1">
        <v>18568.800000000003</v>
      </c>
    </row>
    <row r="615" spans="1:3" x14ac:dyDescent="0.3">
      <c r="A615" s="1">
        <v>29979.599999999999</v>
      </c>
      <c r="B615" s="1">
        <v>17430</v>
      </c>
      <c r="C615" s="1">
        <v>12549.599999999999</v>
      </c>
    </row>
    <row r="616" spans="1:3" x14ac:dyDescent="0.3">
      <c r="A616" s="1">
        <v>18035.919999999998</v>
      </c>
      <c r="B616" s="1">
        <v>14980</v>
      </c>
      <c r="C616" s="1">
        <v>3055.9199999999983</v>
      </c>
    </row>
    <row r="617" spans="1:3" x14ac:dyDescent="0.3">
      <c r="A617" s="1">
        <v>1685.6</v>
      </c>
      <c r="B617" s="1">
        <v>1400</v>
      </c>
      <c r="C617" s="1">
        <v>285.59999999999991</v>
      </c>
    </row>
    <row r="618" spans="1:3" x14ac:dyDescent="0.3">
      <c r="A618" s="1">
        <v>1763.8600000000001</v>
      </c>
      <c r="B618" s="1">
        <v>1465</v>
      </c>
      <c r="C618" s="1">
        <v>298.86000000000013</v>
      </c>
    </row>
    <row r="619" spans="1:3" x14ac:dyDescent="0.3">
      <c r="A619" s="1">
        <v>18035.919999999998</v>
      </c>
      <c r="B619" s="1">
        <v>14980</v>
      </c>
      <c r="C619" s="1">
        <v>3055.9199999999983</v>
      </c>
    </row>
    <row r="620" spans="1:3" x14ac:dyDescent="0.3">
      <c r="A620" s="1">
        <v>3586.2</v>
      </c>
      <c r="B620" s="1">
        <v>2780</v>
      </c>
      <c r="C620" s="1">
        <v>806.19999999999982</v>
      </c>
    </row>
    <row r="621" spans="1:3" x14ac:dyDescent="0.3">
      <c r="A621" s="1">
        <v>41761.599999999999</v>
      </c>
      <c r="B621" s="1">
        <v>24280</v>
      </c>
      <c r="C621" s="1">
        <v>17481.599999999999</v>
      </c>
    </row>
    <row r="622" spans="1:3" x14ac:dyDescent="0.3">
      <c r="A622" s="1">
        <v>22794.3</v>
      </c>
      <c r="B622" s="1">
        <v>17670</v>
      </c>
      <c r="C622" s="1">
        <v>5124.2999999999993</v>
      </c>
    </row>
    <row r="623" spans="1:3" x14ac:dyDescent="0.3">
      <c r="A623" s="1">
        <v>14375.76</v>
      </c>
      <c r="B623" s="1">
        <v>4179</v>
      </c>
      <c r="C623" s="1">
        <v>10196.76</v>
      </c>
    </row>
    <row r="624" spans="1:3" x14ac:dyDescent="0.3">
      <c r="A624" s="1">
        <v>1685.6</v>
      </c>
      <c r="B624" s="1">
        <v>1400</v>
      </c>
      <c r="C624" s="1">
        <v>285.59999999999991</v>
      </c>
    </row>
    <row r="625" spans="1:3" x14ac:dyDescent="0.3">
      <c r="A625" s="1">
        <v>14375.76</v>
      </c>
      <c r="B625" s="1">
        <v>4179</v>
      </c>
      <c r="C625" s="1">
        <v>10196.76</v>
      </c>
    </row>
    <row r="626" spans="1:3" x14ac:dyDescent="0.3">
      <c r="A626" s="1">
        <v>20794.8</v>
      </c>
      <c r="B626" s="1">
        <v>6045</v>
      </c>
      <c r="C626" s="1">
        <v>14749.8</v>
      </c>
    </row>
    <row r="627" spans="1:3" x14ac:dyDescent="0.3">
      <c r="A627" s="1">
        <v>206658</v>
      </c>
      <c r="B627" s="1">
        <v>200250</v>
      </c>
      <c r="C627" s="1">
        <v>6408</v>
      </c>
    </row>
    <row r="628" spans="1:3" x14ac:dyDescent="0.3">
      <c r="A628" s="1">
        <v>109972.5</v>
      </c>
      <c r="B628" s="1">
        <v>122760</v>
      </c>
      <c r="C628" s="1">
        <v>-12787.5</v>
      </c>
    </row>
    <row r="629" spans="1:3" x14ac:dyDescent="0.3">
      <c r="A629" s="1">
        <v>385968</v>
      </c>
      <c r="B629" s="1">
        <v>374000</v>
      </c>
      <c r="C629" s="1">
        <v>11968</v>
      </c>
    </row>
    <row r="630" spans="1:3" x14ac:dyDescent="0.3">
      <c r="A630" s="1">
        <v>260580</v>
      </c>
      <c r="B630" s="1">
        <v>252500</v>
      </c>
      <c r="C630" s="1">
        <v>8080</v>
      </c>
    </row>
    <row r="631" spans="1:3" x14ac:dyDescent="0.3">
      <c r="A631" s="1">
        <v>19517.7</v>
      </c>
      <c r="B631" s="1">
        <v>15130</v>
      </c>
      <c r="C631" s="1">
        <v>4387.7000000000007</v>
      </c>
    </row>
    <row r="632" spans="1:3" x14ac:dyDescent="0.3">
      <c r="A632" s="1">
        <v>29670</v>
      </c>
      <c r="B632" s="1">
        <v>23000</v>
      </c>
      <c r="C632" s="1">
        <v>6670</v>
      </c>
    </row>
    <row r="633" spans="1:3" x14ac:dyDescent="0.3">
      <c r="A633" s="1">
        <v>303257.5</v>
      </c>
      <c r="B633" s="1">
        <v>338520</v>
      </c>
      <c r="C633" s="1">
        <v>-35262.5</v>
      </c>
    </row>
    <row r="634" spans="1:3" x14ac:dyDescent="0.3">
      <c r="A634" s="1">
        <v>670477.5</v>
      </c>
      <c r="B634" s="1">
        <v>579150</v>
      </c>
      <c r="C634" s="1">
        <v>91327.5</v>
      </c>
    </row>
    <row r="635" spans="1:3" x14ac:dyDescent="0.3">
      <c r="A635" s="1">
        <v>360899</v>
      </c>
      <c r="B635" s="1">
        <v>311740</v>
      </c>
      <c r="C635" s="1">
        <v>49159</v>
      </c>
    </row>
    <row r="636" spans="1:3" x14ac:dyDescent="0.3">
      <c r="A636" s="1">
        <v>60200</v>
      </c>
      <c r="B636" s="1">
        <v>52000</v>
      </c>
      <c r="C636" s="1">
        <v>8200</v>
      </c>
    </row>
    <row r="637" spans="1:3" x14ac:dyDescent="0.3">
      <c r="A637" s="1">
        <v>2335.7600000000002</v>
      </c>
      <c r="B637" s="1">
        <v>1940</v>
      </c>
      <c r="C637" s="1">
        <v>395.76000000000022</v>
      </c>
    </row>
    <row r="638" spans="1:3" x14ac:dyDescent="0.3">
      <c r="A638" s="1">
        <v>10396.540000000001</v>
      </c>
      <c r="B638" s="1">
        <v>8635</v>
      </c>
      <c r="C638" s="1">
        <v>1761.5400000000009</v>
      </c>
    </row>
    <row r="639" spans="1:3" x14ac:dyDescent="0.3">
      <c r="A639" s="1">
        <v>29670</v>
      </c>
      <c r="B639" s="1">
        <v>23000</v>
      </c>
      <c r="C639" s="1">
        <v>6670</v>
      </c>
    </row>
    <row r="640" spans="1:3" x14ac:dyDescent="0.3">
      <c r="A640" s="1">
        <v>4472</v>
      </c>
      <c r="B640" s="1">
        <v>2600</v>
      </c>
      <c r="C640" s="1">
        <v>1872</v>
      </c>
    </row>
    <row r="641" spans="1:3" x14ac:dyDescent="0.3">
      <c r="A641" s="1">
        <v>31863</v>
      </c>
      <c r="B641" s="1">
        <v>24700</v>
      </c>
      <c r="C641" s="1">
        <v>7163</v>
      </c>
    </row>
    <row r="642" spans="1:3" x14ac:dyDescent="0.3">
      <c r="A642" s="1">
        <v>22484.7</v>
      </c>
      <c r="B642" s="1">
        <v>17430</v>
      </c>
      <c r="C642" s="1">
        <v>5054.7000000000007</v>
      </c>
    </row>
    <row r="643" spans="1:3" x14ac:dyDescent="0.3">
      <c r="A643" s="1">
        <v>30072.48</v>
      </c>
      <c r="B643" s="1">
        <v>8742</v>
      </c>
      <c r="C643" s="1">
        <v>21330.48</v>
      </c>
    </row>
    <row r="644" spans="1:3" x14ac:dyDescent="0.3">
      <c r="A644" s="1">
        <v>10420.619999999999</v>
      </c>
      <c r="B644" s="1">
        <v>8655</v>
      </c>
      <c r="C644" s="1">
        <v>1765.619999999999</v>
      </c>
    </row>
    <row r="645" spans="1:3" x14ac:dyDescent="0.3">
      <c r="A645" s="1">
        <v>210700</v>
      </c>
      <c r="B645" s="1">
        <v>182000</v>
      </c>
      <c r="C645" s="1">
        <v>28700</v>
      </c>
    </row>
    <row r="646" spans="1:3" x14ac:dyDescent="0.3">
      <c r="A646" s="1">
        <v>22931.040000000001</v>
      </c>
      <c r="B646" s="1">
        <v>6666</v>
      </c>
      <c r="C646" s="1">
        <v>16265.04</v>
      </c>
    </row>
    <row r="647" spans="1:3" x14ac:dyDescent="0.3">
      <c r="A647" s="1">
        <v>354277</v>
      </c>
      <c r="B647" s="1">
        <v>306020</v>
      </c>
      <c r="C647" s="1">
        <v>48257</v>
      </c>
    </row>
    <row r="648" spans="1:3" x14ac:dyDescent="0.3">
      <c r="A648" s="1">
        <v>578522</v>
      </c>
      <c r="B648" s="1">
        <v>499720</v>
      </c>
      <c r="C648" s="1">
        <v>78802</v>
      </c>
    </row>
    <row r="649" spans="1:3" x14ac:dyDescent="0.3">
      <c r="A649" s="1">
        <v>169312.5</v>
      </c>
      <c r="B649" s="1">
        <v>189000</v>
      </c>
      <c r="C649" s="1">
        <v>-19687.5</v>
      </c>
    </row>
    <row r="650" spans="1:3" x14ac:dyDescent="0.3">
      <c r="A650" s="1">
        <v>10423.200000000001</v>
      </c>
      <c r="B650" s="1">
        <v>6060</v>
      </c>
      <c r="C650" s="1">
        <v>4363.2000000000007</v>
      </c>
    </row>
    <row r="651" spans="1:3" x14ac:dyDescent="0.3">
      <c r="A651" s="1">
        <v>634680</v>
      </c>
      <c r="B651" s="1">
        <v>615000</v>
      </c>
      <c r="C651" s="1">
        <v>19680</v>
      </c>
    </row>
    <row r="652" spans="1:3" x14ac:dyDescent="0.3">
      <c r="A652" s="1">
        <v>69402</v>
      </c>
      <c r="B652" s="1">
        <v>67250</v>
      </c>
      <c r="C652" s="1">
        <v>2152</v>
      </c>
    </row>
    <row r="653" spans="1:3" x14ac:dyDescent="0.3">
      <c r="A653" s="1">
        <v>654288</v>
      </c>
      <c r="B653" s="1">
        <v>634000</v>
      </c>
      <c r="C653" s="1">
        <v>20288</v>
      </c>
    </row>
    <row r="654" spans="1:3" x14ac:dyDescent="0.3">
      <c r="A654" s="1">
        <v>17476.060000000001</v>
      </c>
      <c r="B654" s="1">
        <v>14515</v>
      </c>
      <c r="C654" s="1">
        <v>2961.0600000000013</v>
      </c>
    </row>
    <row r="655" spans="1:3" x14ac:dyDescent="0.3">
      <c r="A655" s="1">
        <v>655578</v>
      </c>
      <c r="B655" s="1">
        <v>635250</v>
      </c>
      <c r="C655" s="1">
        <v>20328</v>
      </c>
    </row>
    <row r="656" spans="1:3" x14ac:dyDescent="0.3">
      <c r="A656" s="1">
        <v>69402</v>
      </c>
      <c r="B656" s="1">
        <v>67250</v>
      </c>
      <c r="C656" s="1">
        <v>2152</v>
      </c>
    </row>
    <row r="657" spans="1:3" x14ac:dyDescent="0.3">
      <c r="A657" s="1">
        <v>385968</v>
      </c>
      <c r="B657" s="1">
        <v>374000</v>
      </c>
      <c r="C657" s="1">
        <v>11968</v>
      </c>
    </row>
    <row r="658" spans="1:3" x14ac:dyDescent="0.3">
      <c r="A658" s="1">
        <v>260580</v>
      </c>
      <c r="B658" s="1">
        <v>252500</v>
      </c>
      <c r="C658" s="1">
        <v>8080</v>
      </c>
    </row>
    <row r="659" spans="1:3" x14ac:dyDescent="0.3">
      <c r="A659" s="1">
        <v>385581</v>
      </c>
      <c r="B659" s="1">
        <v>333060</v>
      </c>
      <c r="C659" s="1">
        <v>52521</v>
      </c>
    </row>
    <row r="660" spans="1:3" x14ac:dyDescent="0.3">
      <c r="A660" s="1">
        <v>229104</v>
      </c>
      <c r="B660" s="1">
        <v>222000</v>
      </c>
      <c r="C660" s="1">
        <v>7104</v>
      </c>
    </row>
    <row r="661" spans="1:3" x14ac:dyDescent="0.3">
      <c r="A661" s="1">
        <v>305730</v>
      </c>
      <c r="B661" s="1">
        <v>341280</v>
      </c>
      <c r="C661" s="1">
        <v>-35550</v>
      </c>
    </row>
    <row r="662" spans="1:3" x14ac:dyDescent="0.3">
      <c r="A662" s="1">
        <v>25542</v>
      </c>
      <c r="B662" s="1">
        <v>7425</v>
      </c>
      <c r="C662" s="1">
        <v>18117</v>
      </c>
    </row>
    <row r="663" spans="1:3" x14ac:dyDescent="0.3">
      <c r="A663" s="1">
        <v>22484.7</v>
      </c>
      <c r="B663" s="1">
        <v>17430</v>
      </c>
      <c r="C663" s="1">
        <v>5054.7000000000007</v>
      </c>
    </row>
    <row r="664" spans="1:3" x14ac:dyDescent="0.3">
      <c r="A664" s="1">
        <v>30072.48</v>
      </c>
      <c r="B664" s="1">
        <v>8742</v>
      </c>
      <c r="C664" s="1">
        <v>21330.48</v>
      </c>
    </row>
    <row r="665" spans="1:3" x14ac:dyDescent="0.3">
      <c r="A665" s="1">
        <v>10420.619999999999</v>
      </c>
      <c r="B665" s="1">
        <v>8655</v>
      </c>
      <c r="C665" s="1">
        <v>1765.619999999999</v>
      </c>
    </row>
    <row r="666" spans="1:3" x14ac:dyDescent="0.3">
      <c r="A666" s="1">
        <v>10396.540000000001</v>
      </c>
      <c r="B666" s="1">
        <v>8635</v>
      </c>
      <c r="C666" s="1">
        <v>1761.5400000000009</v>
      </c>
    </row>
    <row r="667" spans="1:3" x14ac:dyDescent="0.3">
      <c r="A667" s="1">
        <v>24123</v>
      </c>
      <c r="B667" s="1">
        <v>18700</v>
      </c>
      <c r="C667" s="1">
        <v>5423</v>
      </c>
    </row>
    <row r="668" spans="1:3" x14ac:dyDescent="0.3">
      <c r="A668" s="1">
        <v>124737.5</v>
      </c>
      <c r="B668" s="1">
        <v>140880</v>
      </c>
      <c r="C668" s="1">
        <v>-16142.5</v>
      </c>
    </row>
    <row r="669" spans="1:3" x14ac:dyDescent="0.3">
      <c r="A669" s="1">
        <v>293993.75</v>
      </c>
      <c r="B669" s="1">
        <v>332040</v>
      </c>
      <c r="C669" s="1">
        <v>-38046.25</v>
      </c>
    </row>
    <row r="670" spans="1:3" x14ac:dyDescent="0.3">
      <c r="A670" s="1">
        <v>115281.25</v>
      </c>
      <c r="B670" s="1">
        <v>130200</v>
      </c>
      <c r="C670" s="1">
        <v>-14918.75</v>
      </c>
    </row>
    <row r="671" spans="1:3" x14ac:dyDescent="0.3">
      <c r="A671" s="1">
        <v>139230</v>
      </c>
      <c r="B671" s="1">
        <v>136500</v>
      </c>
      <c r="C671" s="1">
        <v>2730</v>
      </c>
    </row>
    <row r="672" spans="1:3" x14ac:dyDescent="0.3">
      <c r="A672" s="1">
        <v>19686</v>
      </c>
      <c r="B672" s="1">
        <v>11580</v>
      </c>
      <c r="C672" s="1">
        <v>8106</v>
      </c>
    </row>
    <row r="673" spans="1:3" x14ac:dyDescent="0.3">
      <c r="A673" s="1">
        <v>20578.5</v>
      </c>
      <c r="B673" s="1">
        <v>16140</v>
      </c>
      <c r="C673" s="1">
        <v>4438.5</v>
      </c>
    </row>
    <row r="674" spans="1:3" x14ac:dyDescent="0.3">
      <c r="A674" s="1">
        <v>15083.25</v>
      </c>
      <c r="B674" s="1">
        <v>12675</v>
      </c>
      <c r="C674" s="1">
        <v>2408.25</v>
      </c>
    </row>
    <row r="675" spans="1:3" x14ac:dyDescent="0.3">
      <c r="A675" s="1">
        <v>848172.5</v>
      </c>
      <c r="B675" s="1">
        <v>741260</v>
      </c>
      <c r="C675" s="1">
        <v>106912.5</v>
      </c>
    </row>
    <row r="676" spans="1:3" x14ac:dyDescent="0.3">
      <c r="A676" s="1">
        <v>32627.25</v>
      </c>
      <c r="B676" s="1">
        <v>25590</v>
      </c>
      <c r="C676" s="1">
        <v>7037.25</v>
      </c>
    </row>
    <row r="677" spans="1:3" x14ac:dyDescent="0.3">
      <c r="A677" s="1">
        <v>4539</v>
      </c>
      <c r="B677" s="1">
        <v>2670</v>
      </c>
      <c r="C677" s="1">
        <v>1869</v>
      </c>
    </row>
    <row r="678" spans="1:3" x14ac:dyDescent="0.3">
      <c r="A678" s="1">
        <v>115281.25</v>
      </c>
      <c r="B678" s="1">
        <v>130200</v>
      </c>
      <c r="C678" s="1">
        <v>-14918.75</v>
      </c>
    </row>
    <row r="679" spans="1:3" x14ac:dyDescent="0.3">
      <c r="A679" s="1">
        <v>14981.25</v>
      </c>
      <c r="B679" s="1">
        <v>11750</v>
      </c>
      <c r="C679" s="1">
        <v>3231.25</v>
      </c>
    </row>
    <row r="680" spans="1:3" x14ac:dyDescent="0.3">
      <c r="A680" s="1">
        <v>597082.5</v>
      </c>
      <c r="B680" s="1">
        <v>521820</v>
      </c>
      <c r="C680" s="1">
        <v>75262.5</v>
      </c>
    </row>
    <row r="681" spans="1:3" x14ac:dyDescent="0.3">
      <c r="A681" s="1">
        <v>639922.5</v>
      </c>
      <c r="B681" s="1">
        <v>559260</v>
      </c>
      <c r="C681" s="1">
        <v>80662.5</v>
      </c>
    </row>
    <row r="682" spans="1:3" x14ac:dyDescent="0.3">
      <c r="A682" s="1">
        <v>9322.7999999999993</v>
      </c>
      <c r="B682" s="1">
        <v>2742</v>
      </c>
      <c r="C682" s="1">
        <v>6580.7999999999993</v>
      </c>
    </row>
    <row r="683" spans="1:3" x14ac:dyDescent="0.3">
      <c r="A683" s="1">
        <v>4981</v>
      </c>
      <c r="B683" s="1">
        <v>2930</v>
      </c>
      <c r="C683" s="1">
        <v>2051</v>
      </c>
    </row>
    <row r="684" spans="1:3" x14ac:dyDescent="0.3">
      <c r="A684" s="1">
        <v>5100</v>
      </c>
      <c r="B684" s="1">
        <v>1500</v>
      </c>
      <c r="C684" s="1">
        <v>3600</v>
      </c>
    </row>
    <row r="685" spans="1:3" x14ac:dyDescent="0.3">
      <c r="A685" s="1">
        <v>36031.5</v>
      </c>
      <c r="B685" s="1">
        <v>28260</v>
      </c>
      <c r="C685" s="1">
        <v>7771.5</v>
      </c>
    </row>
    <row r="686" spans="1:3" x14ac:dyDescent="0.3">
      <c r="A686" s="1">
        <v>70443.75</v>
      </c>
      <c r="B686" s="1">
        <v>79560</v>
      </c>
      <c r="C686" s="1">
        <v>-9116.25</v>
      </c>
    </row>
    <row r="687" spans="1:3" x14ac:dyDescent="0.3">
      <c r="A687" s="1">
        <v>656370</v>
      </c>
      <c r="B687" s="1">
        <v>643500</v>
      </c>
      <c r="C687" s="1">
        <v>12870</v>
      </c>
    </row>
    <row r="688" spans="1:3" x14ac:dyDescent="0.3">
      <c r="A688" s="1">
        <v>259037.5</v>
      </c>
      <c r="B688" s="1">
        <v>292560</v>
      </c>
      <c r="C688" s="1">
        <v>-33522.5</v>
      </c>
    </row>
    <row r="689" spans="1:3" x14ac:dyDescent="0.3">
      <c r="A689" s="1">
        <v>9322.7999999999993</v>
      </c>
      <c r="B689" s="1">
        <v>2742</v>
      </c>
      <c r="C689" s="1">
        <v>6580.7999999999993</v>
      </c>
    </row>
    <row r="690" spans="1:3" x14ac:dyDescent="0.3">
      <c r="A690" s="1">
        <v>14713.5</v>
      </c>
      <c r="B690" s="1">
        <v>8655</v>
      </c>
      <c r="C690" s="1">
        <v>6058.5</v>
      </c>
    </row>
    <row r="691" spans="1:3" x14ac:dyDescent="0.3">
      <c r="A691" s="1">
        <v>6273</v>
      </c>
      <c r="B691" s="1">
        <v>4920</v>
      </c>
      <c r="C691" s="1">
        <v>1353</v>
      </c>
    </row>
    <row r="692" spans="1:3" x14ac:dyDescent="0.3">
      <c r="A692" s="1">
        <v>4539</v>
      </c>
      <c r="B692" s="1">
        <v>2670</v>
      </c>
      <c r="C692" s="1">
        <v>1869</v>
      </c>
    </row>
    <row r="693" spans="1:3" x14ac:dyDescent="0.3">
      <c r="A693" s="1">
        <v>14981.25</v>
      </c>
      <c r="B693" s="1">
        <v>11750</v>
      </c>
      <c r="C693" s="1">
        <v>3231.25</v>
      </c>
    </row>
    <row r="694" spans="1:3" x14ac:dyDescent="0.3">
      <c r="A694" s="1">
        <v>313862.5</v>
      </c>
      <c r="B694" s="1">
        <v>354480</v>
      </c>
      <c r="C694" s="1">
        <v>-40617.5</v>
      </c>
    </row>
    <row r="695" spans="1:3" x14ac:dyDescent="0.3">
      <c r="A695" s="1">
        <v>58650</v>
      </c>
      <c r="B695" s="1">
        <v>66240</v>
      </c>
      <c r="C695" s="1">
        <v>-7590</v>
      </c>
    </row>
    <row r="696" spans="1:3" x14ac:dyDescent="0.3">
      <c r="A696" s="1">
        <v>4981</v>
      </c>
      <c r="B696" s="1">
        <v>2930</v>
      </c>
      <c r="C696" s="1">
        <v>2051</v>
      </c>
    </row>
    <row r="697" spans="1:3" x14ac:dyDescent="0.3">
      <c r="A697" s="1">
        <v>631125</v>
      </c>
      <c r="B697" s="1">
        <v>618750</v>
      </c>
      <c r="C697" s="1">
        <v>12375</v>
      </c>
    </row>
    <row r="698" spans="1:3" x14ac:dyDescent="0.3">
      <c r="A698" s="1">
        <v>139230</v>
      </c>
      <c r="B698" s="1">
        <v>136500</v>
      </c>
      <c r="C698" s="1">
        <v>2730</v>
      </c>
    </row>
    <row r="699" spans="1:3" x14ac:dyDescent="0.3">
      <c r="A699" s="1">
        <v>8139.6</v>
      </c>
      <c r="B699" s="1">
        <v>6840</v>
      </c>
      <c r="C699" s="1">
        <v>1299.6000000000004</v>
      </c>
    </row>
    <row r="700" spans="1:3" x14ac:dyDescent="0.3">
      <c r="A700" s="1">
        <v>4301.8500000000004</v>
      </c>
      <c r="B700" s="1">
        <v>3615</v>
      </c>
      <c r="C700" s="1">
        <v>686.85000000000014</v>
      </c>
    </row>
    <row r="701" spans="1:3" x14ac:dyDescent="0.3">
      <c r="A701" s="1">
        <v>18421.2</v>
      </c>
      <c r="B701" s="1">
        <v>5418</v>
      </c>
      <c r="C701" s="1">
        <v>13003.2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1"/>
  <sheetViews>
    <sheetView workbookViewId="0">
      <selection activeCell="I678" sqref="I678"/>
    </sheetView>
  </sheetViews>
  <sheetFormatPr defaultRowHeight="14.4" x14ac:dyDescent="0.3"/>
  <cols>
    <col min="1" max="1" width="11.5546875" customWidth="1"/>
    <col min="2" max="2" width="18.6640625" customWidth="1"/>
    <col min="3" max="3" width="8.88671875" style="30"/>
    <col min="4" max="4" width="17.6640625" style="1" customWidth="1"/>
    <col min="5" max="5" width="18.44140625" bestFit="1" customWidth="1"/>
  </cols>
  <sheetData>
    <row r="1" spans="1:5" x14ac:dyDescent="0.3">
      <c r="A1" s="24" t="s">
        <v>12</v>
      </c>
      <c r="B1" s="23" t="s">
        <v>48</v>
      </c>
      <c r="C1" s="27" t="s">
        <v>0</v>
      </c>
      <c r="D1" t="s">
        <v>57</v>
      </c>
      <c r="E1" s="1" t="s">
        <v>33</v>
      </c>
    </row>
    <row r="2" spans="1:5" x14ac:dyDescent="0.3">
      <c r="A2" s="25">
        <v>41640</v>
      </c>
      <c r="B2" s="21" t="s">
        <v>21</v>
      </c>
      <c r="C2" s="28" t="s">
        <v>15</v>
      </c>
      <c r="D2" s="1">
        <v>32370</v>
      </c>
      <c r="E2" s="1">
        <v>16185</v>
      </c>
    </row>
    <row r="3" spans="1:5" x14ac:dyDescent="0.3">
      <c r="A3" s="25">
        <v>41640</v>
      </c>
      <c r="B3" s="21" t="s">
        <v>21</v>
      </c>
      <c r="C3" s="28" t="s">
        <v>15</v>
      </c>
      <c r="D3" s="1">
        <v>26420</v>
      </c>
      <c r="E3" s="1">
        <v>13210</v>
      </c>
    </row>
    <row r="4" spans="1:5" x14ac:dyDescent="0.3">
      <c r="A4" s="25">
        <v>41791</v>
      </c>
      <c r="B4" s="21" t="s">
        <v>26</v>
      </c>
      <c r="C4" s="28" t="s">
        <v>15</v>
      </c>
      <c r="D4" s="1">
        <v>32670</v>
      </c>
      <c r="E4" s="1">
        <v>10890</v>
      </c>
    </row>
    <row r="5" spans="1:5" x14ac:dyDescent="0.3">
      <c r="A5" s="25">
        <v>41791</v>
      </c>
      <c r="B5" s="21" t="s">
        <v>26</v>
      </c>
      <c r="C5" s="28" t="s">
        <v>15</v>
      </c>
      <c r="D5" s="1">
        <v>13320</v>
      </c>
      <c r="E5" s="1">
        <v>4440</v>
      </c>
    </row>
    <row r="6" spans="1:5" x14ac:dyDescent="0.3">
      <c r="A6" s="25">
        <v>41791</v>
      </c>
      <c r="B6" s="21" t="s">
        <v>26</v>
      </c>
      <c r="C6" s="28" t="s">
        <v>15</v>
      </c>
      <c r="D6" s="1">
        <v>37050</v>
      </c>
      <c r="E6" s="1">
        <v>12350</v>
      </c>
    </row>
    <row r="7" spans="1:5" x14ac:dyDescent="0.3">
      <c r="A7" s="25">
        <v>41974</v>
      </c>
      <c r="B7" s="21" t="s">
        <v>32</v>
      </c>
      <c r="C7" s="28" t="s">
        <v>15</v>
      </c>
      <c r="D7" s="1">
        <v>529550</v>
      </c>
      <c r="E7" s="1">
        <v>136170</v>
      </c>
    </row>
    <row r="8" spans="1:5" x14ac:dyDescent="0.3">
      <c r="A8" s="25">
        <v>41699</v>
      </c>
      <c r="B8" s="21" t="s">
        <v>23</v>
      </c>
      <c r="C8" s="28" t="s">
        <v>15</v>
      </c>
      <c r="D8" s="1">
        <v>13815</v>
      </c>
      <c r="E8" s="1">
        <v>4605</v>
      </c>
    </row>
    <row r="9" spans="1:5" x14ac:dyDescent="0.3">
      <c r="A9" s="25">
        <v>41791</v>
      </c>
      <c r="B9" s="21" t="s">
        <v>26</v>
      </c>
      <c r="C9" s="28" t="s">
        <v>15</v>
      </c>
      <c r="D9" s="1">
        <v>30216</v>
      </c>
      <c r="E9" s="1">
        <v>22662</v>
      </c>
    </row>
    <row r="10" spans="1:5" x14ac:dyDescent="0.3">
      <c r="A10" s="25">
        <v>41791</v>
      </c>
      <c r="B10" s="21" t="s">
        <v>26</v>
      </c>
      <c r="C10" s="28" t="s">
        <v>15</v>
      </c>
      <c r="D10" s="1">
        <v>37980</v>
      </c>
      <c r="E10" s="1">
        <v>18990</v>
      </c>
    </row>
    <row r="11" spans="1:5" x14ac:dyDescent="0.3">
      <c r="A11" s="25">
        <v>41791</v>
      </c>
      <c r="B11" s="21" t="s">
        <v>26</v>
      </c>
      <c r="C11" s="28" t="s">
        <v>15</v>
      </c>
      <c r="D11" s="1">
        <v>18540</v>
      </c>
      <c r="E11" s="1">
        <v>13905</v>
      </c>
    </row>
    <row r="12" spans="1:5" x14ac:dyDescent="0.3">
      <c r="A12" s="25">
        <v>41791</v>
      </c>
      <c r="B12" s="21" t="s">
        <v>26</v>
      </c>
      <c r="C12" s="28" t="s">
        <v>15</v>
      </c>
      <c r="D12" s="1">
        <v>37050</v>
      </c>
      <c r="E12" s="1">
        <v>12350</v>
      </c>
    </row>
    <row r="13" spans="1:5" x14ac:dyDescent="0.3">
      <c r="A13" s="25">
        <v>41821</v>
      </c>
      <c r="B13" s="21" t="s">
        <v>27</v>
      </c>
      <c r="C13" s="28" t="s">
        <v>15</v>
      </c>
      <c r="D13" s="1">
        <v>333187.5</v>
      </c>
      <c r="E13" s="1">
        <v>13327.5</v>
      </c>
    </row>
    <row r="14" spans="1:5" x14ac:dyDescent="0.3">
      <c r="A14" s="25">
        <v>41852</v>
      </c>
      <c r="B14" s="21" t="s">
        <v>28</v>
      </c>
      <c r="C14" s="28" t="s">
        <v>15</v>
      </c>
      <c r="D14" s="1">
        <v>287400</v>
      </c>
      <c r="E14" s="1">
        <v>47900</v>
      </c>
    </row>
    <row r="15" spans="1:5" x14ac:dyDescent="0.3">
      <c r="A15" s="25">
        <v>41883</v>
      </c>
      <c r="B15" s="21" t="s">
        <v>29</v>
      </c>
      <c r="C15" s="28" t="s">
        <v>15</v>
      </c>
      <c r="D15" s="1">
        <v>15022</v>
      </c>
      <c r="E15" s="1">
        <v>4292</v>
      </c>
    </row>
    <row r="16" spans="1:5" x14ac:dyDescent="0.3">
      <c r="A16" s="25">
        <v>41548</v>
      </c>
      <c r="B16" s="21" t="s">
        <v>30</v>
      </c>
      <c r="C16" s="28" t="s">
        <v>14</v>
      </c>
      <c r="D16" s="1">
        <v>43125</v>
      </c>
      <c r="E16" s="1">
        <v>1725</v>
      </c>
    </row>
    <row r="17" spans="1:5" x14ac:dyDescent="0.3">
      <c r="A17" s="25">
        <v>41974</v>
      </c>
      <c r="B17" s="21" t="s">
        <v>32</v>
      </c>
      <c r="C17" s="28" t="s">
        <v>15</v>
      </c>
      <c r="D17" s="1">
        <v>9225</v>
      </c>
      <c r="E17" s="1">
        <v>3075</v>
      </c>
    </row>
    <row r="18" spans="1:5" x14ac:dyDescent="0.3">
      <c r="A18" s="25">
        <v>41671</v>
      </c>
      <c r="B18" s="21" t="s">
        <v>22</v>
      </c>
      <c r="C18" s="28" t="s">
        <v>15</v>
      </c>
      <c r="D18" s="1">
        <v>5840</v>
      </c>
      <c r="E18" s="1">
        <v>2920</v>
      </c>
    </row>
    <row r="19" spans="1:5" x14ac:dyDescent="0.3">
      <c r="A19" s="25">
        <v>41671</v>
      </c>
      <c r="B19" s="21" t="s">
        <v>22</v>
      </c>
      <c r="C19" s="28" t="s">
        <v>15</v>
      </c>
      <c r="D19" s="1">
        <v>14610</v>
      </c>
      <c r="E19" s="1">
        <v>4870</v>
      </c>
    </row>
    <row r="20" spans="1:5" x14ac:dyDescent="0.3">
      <c r="A20" s="25">
        <v>41791</v>
      </c>
      <c r="B20" s="21" t="s">
        <v>26</v>
      </c>
      <c r="C20" s="28" t="s">
        <v>15</v>
      </c>
      <c r="D20" s="1">
        <v>30216</v>
      </c>
      <c r="E20" s="1">
        <v>22662</v>
      </c>
    </row>
    <row r="21" spans="1:5" x14ac:dyDescent="0.3">
      <c r="A21" s="25">
        <v>41791</v>
      </c>
      <c r="B21" s="21" t="s">
        <v>26</v>
      </c>
      <c r="C21" s="28" t="s">
        <v>15</v>
      </c>
      <c r="D21" s="1">
        <v>352100</v>
      </c>
      <c r="E21" s="1">
        <v>90540</v>
      </c>
    </row>
    <row r="22" spans="1:5" x14ac:dyDescent="0.3">
      <c r="A22" s="25">
        <v>41821</v>
      </c>
      <c r="B22" s="21" t="s">
        <v>27</v>
      </c>
      <c r="C22" s="28" t="s">
        <v>15</v>
      </c>
      <c r="D22" s="1">
        <v>4404</v>
      </c>
      <c r="E22" s="1">
        <v>3303</v>
      </c>
    </row>
    <row r="23" spans="1:5" x14ac:dyDescent="0.3">
      <c r="A23" s="25">
        <v>41852</v>
      </c>
      <c r="B23" s="21" t="s">
        <v>28</v>
      </c>
      <c r="C23" s="28" t="s">
        <v>15</v>
      </c>
      <c r="D23" s="1">
        <v>6181</v>
      </c>
      <c r="E23" s="1">
        <v>1766</v>
      </c>
    </row>
    <row r="24" spans="1:5" x14ac:dyDescent="0.3">
      <c r="A24" s="25">
        <v>41518</v>
      </c>
      <c r="B24" s="21" t="s">
        <v>29</v>
      </c>
      <c r="C24" s="28" t="s">
        <v>14</v>
      </c>
      <c r="D24" s="1">
        <v>8235</v>
      </c>
      <c r="E24" s="1">
        <v>2745</v>
      </c>
    </row>
    <row r="25" spans="1:5" x14ac:dyDescent="0.3">
      <c r="A25" s="25">
        <v>41518</v>
      </c>
      <c r="B25" s="21" t="s">
        <v>29</v>
      </c>
      <c r="C25" s="28" t="s">
        <v>14</v>
      </c>
      <c r="D25" s="1">
        <v>236400</v>
      </c>
      <c r="E25" s="1">
        <v>39400</v>
      </c>
    </row>
    <row r="26" spans="1:5" x14ac:dyDescent="0.3">
      <c r="A26" s="25">
        <v>41883</v>
      </c>
      <c r="B26" s="21" t="s">
        <v>29</v>
      </c>
      <c r="C26" s="28" t="s">
        <v>15</v>
      </c>
      <c r="D26" s="1">
        <v>37080</v>
      </c>
      <c r="E26" s="1">
        <v>12360</v>
      </c>
    </row>
    <row r="27" spans="1:5" x14ac:dyDescent="0.3">
      <c r="A27" s="25">
        <v>41913</v>
      </c>
      <c r="B27" s="21" t="s">
        <v>30</v>
      </c>
      <c r="C27" s="28" t="s">
        <v>15</v>
      </c>
      <c r="D27" s="1">
        <v>8001</v>
      </c>
      <c r="E27" s="1">
        <v>2286</v>
      </c>
    </row>
    <row r="28" spans="1:5" x14ac:dyDescent="0.3">
      <c r="A28" s="25">
        <v>41579</v>
      </c>
      <c r="B28" s="21" t="s">
        <v>31</v>
      </c>
      <c r="C28" s="28" t="s">
        <v>14</v>
      </c>
      <c r="D28" s="1">
        <v>603750</v>
      </c>
      <c r="E28" s="1">
        <v>155250</v>
      </c>
    </row>
    <row r="29" spans="1:5" x14ac:dyDescent="0.3">
      <c r="A29" s="25">
        <v>41579</v>
      </c>
      <c r="B29" s="21" t="s">
        <v>31</v>
      </c>
      <c r="C29" s="28" t="s">
        <v>14</v>
      </c>
      <c r="D29" s="1">
        <v>10944</v>
      </c>
      <c r="E29" s="1">
        <v>8208</v>
      </c>
    </row>
    <row r="30" spans="1:5" x14ac:dyDescent="0.3">
      <c r="A30" s="25">
        <v>41609</v>
      </c>
      <c r="B30" s="21" t="s">
        <v>32</v>
      </c>
      <c r="C30" s="28" t="s">
        <v>14</v>
      </c>
      <c r="D30" s="1">
        <v>32280</v>
      </c>
      <c r="E30" s="1">
        <v>10760</v>
      </c>
    </row>
    <row r="31" spans="1:5" x14ac:dyDescent="0.3">
      <c r="A31" s="25">
        <v>41974</v>
      </c>
      <c r="B31" s="21" t="s">
        <v>32</v>
      </c>
      <c r="C31" s="28" t="s">
        <v>15</v>
      </c>
      <c r="D31" s="1">
        <v>36340</v>
      </c>
      <c r="E31" s="1">
        <v>18170</v>
      </c>
    </row>
    <row r="32" spans="1:5" x14ac:dyDescent="0.3">
      <c r="A32" s="25">
        <v>41974</v>
      </c>
      <c r="B32" s="21" t="s">
        <v>32</v>
      </c>
      <c r="C32" s="28" t="s">
        <v>15</v>
      </c>
      <c r="D32" s="1">
        <v>529550</v>
      </c>
      <c r="E32" s="1">
        <v>136170</v>
      </c>
    </row>
    <row r="33" spans="1:5" x14ac:dyDescent="0.3">
      <c r="A33" s="25">
        <v>41640</v>
      </c>
      <c r="B33" s="21" t="s">
        <v>21</v>
      </c>
      <c r="C33" s="28" t="s">
        <v>15</v>
      </c>
      <c r="D33" s="1">
        <v>10451</v>
      </c>
      <c r="E33" s="1">
        <v>2986</v>
      </c>
    </row>
    <row r="34" spans="1:5" x14ac:dyDescent="0.3">
      <c r="A34" s="25">
        <v>41671</v>
      </c>
      <c r="B34" s="21" t="s">
        <v>22</v>
      </c>
      <c r="C34" s="28" t="s">
        <v>15</v>
      </c>
      <c r="D34" s="1">
        <v>225500</v>
      </c>
      <c r="E34" s="1">
        <v>9020</v>
      </c>
    </row>
    <row r="35" spans="1:5" x14ac:dyDescent="0.3">
      <c r="A35" s="25">
        <v>41699</v>
      </c>
      <c r="B35" s="21" t="s">
        <v>23</v>
      </c>
      <c r="C35" s="28" t="s">
        <v>15</v>
      </c>
      <c r="D35" s="1">
        <v>25932</v>
      </c>
      <c r="E35" s="1">
        <v>19449</v>
      </c>
    </row>
    <row r="36" spans="1:5" x14ac:dyDescent="0.3">
      <c r="A36" s="25">
        <v>41791</v>
      </c>
      <c r="B36" s="21" t="s">
        <v>26</v>
      </c>
      <c r="C36" s="28" t="s">
        <v>15</v>
      </c>
      <c r="D36" s="1">
        <v>352100</v>
      </c>
      <c r="E36" s="1">
        <v>90540</v>
      </c>
    </row>
    <row r="37" spans="1:5" x14ac:dyDescent="0.3">
      <c r="A37" s="25">
        <v>41791</v>
      </c>
      <c r="B37" s="21" t="s">
        <v>26</v>
      </c>
      <c r="C37" s="28" t="s">
        <v>15</v>
      </c>
      <c r="D37" s="1">
        <v>18540</v>
      </c>
      <c r="E37" s="1">
        <v>13905</v>
      </c>
    </row>
    <row r="38" spans="1:5" x14ac:dyDescent="0.3">
      <c r="A38" s="25">
        <v>41852</v>
      </c>
      <c r="B38" s="21" t="s">
        <v>28</v>
      </c>
      <c r="C38" s="28" t="s">
        <v>15</v>
      </c>
      <c r="D38" s="1">
        <v>352625</v>
      </c>
      <c r="E38" s="1">
        <v>14105</v>
      </c>
    </row>
    <row r="39" spans="1:5" x14ac:dyDescent="0.3">
      <c r="A39" s="25">
        <v>41548</v>
      </c>
      <c r="B39" s="21" t="s">
        <v>30</v>
      </c>
      <c r="C39" s="28" t="s">
        <v>14</v>
      </c>
      <c r="D39" s="1">
        <v>43125</v>
      </c>
      <c r="E39" s="1">
        <v>1725</v>
      </c>
    </row>
    <row r="40" spans="1:5" x14ac:dyDescent="0.3">
      <c r="A40" s="25">
        <v>41671</v>
      </c>
      <c r="B40" s="21" t="s">
        <v>22</v>
      </c>
      <c r="C40" s="28" t="s">
        <v>15</v>
      </c>
      <c r="D40" s="1">
        <v>600300</v>
      </c>
      <c r="E40" s="1">
        <v>100050</v>
      </c>
    </row>
    <row r="41" spans="1:5" x14ac:dyDescent="0.3">
      <c r="A41" s="25">
        <v>41730</v>
      </c>
      <c r="B41" s="21" t="s">
        <v>24</v>
      </c>
      <c r="C41" s="28" t="s">
        <v>15</v>
      </c>
      <c r="D41" s="1">
        <v>34056</v>
      </c>
      <c r="E41" s="1">
        <v>25542</v>
      </c>
    </row>
    <row r="42" spans="1:5" x14ac:dyDescent="0.3">
      <c r="A42" s="25">
        <v>41791</v>
      </c>
      <c r="B42" s="21" t="s">
        <v>26</v>
      </c>
      <c r="C42" s="28" t="s">
        <v>15</v>
      </c>
      <c r="D42" s="1">
        <v>32670</v>
      </c>
      <c r="E42" s="1">
        <v>10890</v>
      </c>
    </row>
    <row r="43" spans="1:5" x14ac:dyDescent="0.3">
      <c r="A43" s="25">
        <v>41791</v>
      </c>
      <c r="B43" s="21" t="s">
        <v>26</v>
      </c>
      <c r="C43" s="28" t="s">
        <v>15</v>
      </c>
      <c r="D43" s="1">
        <v>13320</v>
      </c>
      <c r="E43" s="1">
        <v>4440</v>
      </c>
    </row>
    <row r="44" spans="1:5" x14ac:dyDescent="0.3">
      <c r="A44" s="25">
        <v>41518</v>
      </c>
      <c r="B44" s="21" t="s">
        <v>29</v>
      </c>
      <c r="C44" s="28" t="s">
        <v>14</v>
      </c>
      <c r="D44" s="1">
        <v>534450</v>
      </c>
      <c r="E44" s="1">
        <v>137430</v>
      </c>
    </row>
    <row r="45" spans="1:5" x14ac:dyDescent="0.3">
      <c r="A45" s="25">
        <v>41883</v>
      </c>
      <c r="B45" s="21" t="s">
        <v>29</v>
      </c>
      <c r="C45" s="28" t="s">
        <v>15</v>
      </c>
      <c r="D45" s="1">
        <v>645300</v>
      </c>
      <c r="E45" s="1">
        <v>107550</v>
      </c>
    </row>
    <row r="46" spans="1:5" x14ac:dyDescent="0.3">
      <c r="A46" s="25">
        <v>41974</v>
      </c>
      <c r="B46" s="21" t="s">
        <v>32</v>
      </c>
      <c r="C46" s="28" t="s">
        <v>15</v>
      </c>
      <c r="D46" s="1">
        <v>36340</v>
      </c>
      <c r="E46" s="1">
        <v>18170</v>
      </c>
    </row>
    <row r="47" spans="1:5" x14ac:dyDescent="0.3">
      <c r="A47" s="25">
        <v>41671</v>
      </c>
      <c r="B47" s="21" t="s">
        <v>22</v>
      </c>
      <c r="C47" s="28" t="s">
        <v>15</v>
      </c>
      <c r="D47" s="1">
        <v>962500</v>
      </c>
      <c r="E47" s="1">
        <v>247500</v>
      </c>
    </row>
    <row r="48" spans="1:5" x14ac:dyDescent="0.3">
      <c r="A48" s="25">
        <v>41730</v>
      </c>
      <c r="B48" s="21" t="s">
        <v>24</v>
      </c>
      <c r="C48" s="28" t="s">
        <v>15</v>
      </c>
      <c r="D48" s="1">
        <v>23436</v>
      </c>
      <c r="E48" s="1">
        <v>17577</v>
      </c>
    </row>
    <row r="49" spans="1:5" x14ac:dyDescent="0.3">
      <c r="A49" s="25">
        <v>41730</v>
      </c>
      <c r="B49" s="21" t="s">
        <v>24</v>
      </c>
      <c r="C49" s="28" t="s">
        <v>15</v>
      </c>
      <c r="D49" s="1">
        <v>527437.5</v>
      </c>
      <c r="E49" s="1">
        <v>21097.5</v>
      </c>
    </row>
    <row r="50" spans="1:5" x14ac:dyDescent="0.3">
      <c r="A50" s="25">
        <v>41791</v>
      </c>
      <c r="B50" s="21" t="s">
        <v>26</v>
      </c>
      <c r="C50" s="28" t="s">
        <v>15</v>
      </c>
      <c r="D50" s="1">
        <v>37980</v>
      </c>
      <c r="E50" s="1">
        <v>18990</v>
      </c>
    </row>
    <row r="51" spans="1:5" x14ac:dyDescent="0.3">
      <c r="A51" s="25">
        <v>41821</v>
      </c>
      <c r="B51" s="21" t="s">
        <v>27</v>
      </c>
      <c r="C51" s="28" t="s">
        <v>15</v>
      </c>
      <c r="D51" s="1">
        <v>11802</v>
      </c>
      <c r="E51" s="1">
        <v>3372</v>
      </c>
    </row>
    <row r="52" spans="1:5" x14ac:dyDescent="0.3">
      <c r="A52" s="25">
        <v>41852</v>
      </c>
      <c r="B52" s="21" t="s">
        <v>28</v>
      </c>
      <c r="C52" s="28" t="s">
        <v>15</v>
      </c>
      <c r="D52" s="1">
        <v>25692</v>
      </c>
      <c r="E52" s="1">
        <v>19269</v>
      </c>
    </row>
    <row r="53" spans="1:5" x14ac:dyDescent="0.3">
      <c r="A53" s="25">
        <v>41913</v>
      </c>
      <c r="B53" s="21" t="s">
        <v>30</v>
      </c>
      <c r="C53" s="28" t="s">
        <v>15</v>
      </c>
      <c r="D53" s="1">
        <v>8001</v>
      </c>
      <c r="E53" s="1">
        <v>2286</v>
      </c>
    </row>
    <row r="54" spans="1:5" x14ac:dyDescent="0.3">
      <c r="A54" s="25">
        <v>41974</v>
      </c>
      <c r="B54" s="21" t="s">
        <v>32</v>
      </c>
      <c r="C54" s="28" t="s">
        <v>15</v>
      </c>
      <c r="D54" s="1">
        <v>9225</v>
      </c>
      <c r="E54" s="1">
        <v>3075</v>
      </c>
    </row>
    <row r="55" spans="1:5" x14ac:dyDescent="0.3">
      <c r="A55" s="25">
        <v>41640</v>
      </c>
      <c r="B55" s="21" t="s">
        <v>21</v>
      </c>
      <c r="C55" s="28" t="s">
        <v>15</v>
      </c>
      <c r="D55" s="1">
        <v>27338.850000000002</v>
      </c>
      <c r="E55" s="1">
        <v>7613.8500000000022</v>
      </c>
    </row>
    <row r="56" spans="1:5" x14ac:dyDescent="0.3">
      <c r="A56" s="25">
        <v>41671</v>
      </c>
      <c r="B56" s="21" t="s">
        <v>22</v>
      </c>
      <c r="C56" s="28" t="s">
        <v>15</v>
      </c>
      <c r="D56" s="1">
        <v>34095.599999999999</v>
      </c>
      <c r="E56" s="1">
        <v>11135.599999999999</v>
      </c>
    </row>
    <row r="57" spans="1:5" x14ac:dyDescent="0.3">
      <c r="A57" s="25">
        <v>41760</v>
      </c>
      <c r="B57" s="21" t="s">
        <v>25</v>
      </c>
      <c r="C57" s="28" t="s">
        <v>15</v>
      </c>
      <c r="D57" s="1">
        <v>7137.9</v>
      </c>
      <c r="E57" s="1">
        <v>1987.8999999999996</v>
      </c>
    </row>
    <row r="58" spans="1:5" x14ac:dyDescent="0.3">
      <c r="A58" s="25">
        <v>41944</v>
      </c>
      <c r="B58" s="21" t="s">
        <v>31</v>
      </c>
      <c r="C58" s="28" t="s">
        <v>15</v>
      </c>
      <c r="D58" s="1">
        <v>4428.2700000000004</v>
      </c>
      <c r="E58" s="1">
        <v>1233.2700000000004</v>
      </c>
    </row>
    <row r="59" spans="1:5" x14ac:dyDescent="0.3">
      <c r="A59" s="25">
        <v>41699</v>
      </c>
      <c r="B59" s="21" t="s">
        <v>23</v>
      </c>
      <c r="C59" s="28" t="s">
        <v>15</v>
      </c>
      <c r="D59" s="1">
        <v>9189.18</v>
      </c>
      <c r="E59" s="1">
        <v>2559.1800000000003</v>
      </c>
    </row>
    <row r="60" spans="1:5" x14ac:dyDescent="0.3">
      <c r="A60" s="25">
        <v>41671</v>
      </c>
      <c r="B60" s="21" t="s">
        <v>22</v>
      </c>
      <c r="C60" s="28" t="s">
        <v>15</v>
      </c>
      <c r="D60" s="1">
        <v>22073.040000000001</v>
      </c>
      <c r="E60" s="1">
        <v>16499.04</v>
      </c>
    </row>
    <row r="61" spans="1:5" x14ac:dyDescent="0.3">
      <c r="A61" s="25">
        <v>41699</v>
      </c>
      <c r="B61" s="21" t="s">
        <v>23</v>
      </c>
      <c r="C61" s="28" t="s">
        <v>15</v>
      </c>
      <c r="D61" s="1">
        <v>419265</v>
      </c>
      <c r="E61" s="1">
        <v>104665</v>
      </c>
    </row>
    <row r="62" spans="1:5" x14ac:dyDescent="0.3">
      <c r="A62" s="25">
        <v>41821</v>
      </c>
      <c r="B62" s="21" t="s">
        <v>27</v>
      </c>
      <c r="C62" s="28" t="s">
        <v>15</v>
      </c>
      <c r="D62" s="1">
        <v>17525.97</v>
      </c>
      <c r="E62" s="1">
        <v>4880.9699999999993</v>
      </c>
    </row>
    <row r="63" spans="1:5" x14ac:dyDescent="0.3">
      <c r="A63" s="25">
        <v>41883</v>
      </c>
      <c r="B63" s="21" t="s">
        <v>29</v>
      </c>
      <c r="C63" s="28" t="s">
        <v>15</v>
      </c>
      <c r="D63" s="1">
        <v>17166.599999999999</v>
      </c>
      <c r="E63" s="1">
        <v>12831.599999999999</v>
      </c>
    </row>
    <row r="64" spans="1:5" x14ac:dyDescent="0.3">
      <c r="A64" s="25">
        <v>41518</v>
      </c>
      <c r="B64" s="21" t="s">
        <v>29</v>
      </c>
      <c r="C64" s="28" t="s">
        <v>14</v>
      </c>
      <c r="D64" s="1">
        <v>40837.5</v>
      </c>
      <c r="E64" s="1">
        <v>1237.5</v>
      </c>
    </row>
    <row r="65" spans="1:5" x14ac:dyDescent="0.3">
      <c r="A65" s="25">
        <v>41883</v>
      </c>
      <c r="B65" s="21" t="s">
        <v>29</v>
      </c>
      <c r="C65" s="28" t="s">
        <v>15</v>
      </c>
      <c r="D65" s="1">
        <v>31731.48</v>
      </c>
      <c r="E65" s="1">
        <v>23718.48</v>
      </c>
    </row>
    <row r="66" spans="1:5" x14ac:dyDescent="0.3">
      <c r="A66" s="25">
        <v>41548</v>
      </c>
      <c r="B66" s="21" t="s">
        <v>30</v>
      </c>
      <c r="C66" s="28" t="s">
        <v>14</v>
      </c>
      <c r="D66" s="1">
        <v>9100.08</v>
      </c>
      <c r="E66" s="1">
        <v>6802.08</v>
      </c>
    </row>
    <row r="67" spans="1:5" x14ac:dyDescent="0.3">
      <c r="A67" s="25">
        <v>41548</v>
      </c>
      <c r="B67" s="21" t="s">
        <v>30</v>
      </c>
      <c r="C67" s="28" t="s">
        <v>14</v>
      </c>
      <c r="D67" s="1">
        <v>146718</v>
      </c>
      <c r="E67" s="1">
        <v>23218</v>
      </c>
    </row>
    <row r="68" spans="1:5" x14ac:dyDescent="0.3">
      <c r="A68" s="25">
        <v>41913</v>
      </c>
      <c r="B68" s="21" t="s">
        <v>30</v>
      </c>
      <c r="C68" s="28" t="s">
        <v>15</v>
      </c>
      <c r="D68" s="1">
        <v>484060.5</v>
      </c>
      <c r="E68" s="1">
        <v>120840.5</v>
      </c>
    </row>
    <row r="69" spans="1:5" x14ac:dyDescent="0.3">
      <c r="A69" s="25">
        <v>41974</v>
      </c>
      <c r="B69" s="21" t="s">
        <v>32</v>
      </c>
      <c r="C69" s="28" t="s">
        <v>15</v>
      </c>
      <c r="D69" s="1">
        <v>746707.5</v>
      </c>
      <c r="E69" s="1">
        <v>186407.5</v>
      </c>
    </row>
    <row r="70" spans="1:5" x14ac:dyDescent="0.3">
      <c r="A70" s="25">
        <v>41699</v>
      </c>
      <c r="B70" s="21" t="s">
        <v>23</v>
      </c>
      <c r="C70" s="28" t="s">
        <v>15</v>
      </c>
      <c r="D70" s="1">
        <v>32877.9</v>
      </c>
      <c r="E70" s="1">
        <v>10737.900000000001</v>
      </c>
    </row>
    <row r="71" spans="1:5" x14ac:dyDescent="0.3">
      <c r="A71" s="25">
        <v>41730</v>
      </c>
      <c r="B71" s="21" t="s">
        <v>24</v>
      </c>
      <c r="C71" s="28" t="s">
        <v>15</v>
      </c>
      <c r="D71" s="1">
        <v>683397</v>
      </c>
      <c r="E71" s="1">
        <v>108147</v>
      </c>
    </row>
    <row r="72" spans="1:5" x14ac:dyDescent="0.3">
      <c r="A72" s="25">
        <v>41821</v>
      </c>
      <c r="B72" s="21" t="s">
        <v>27</v>
      </c>
      <c r="C72" s="28" t="s">
        <v>15</v>
      </c>
      <c r="D72" s="1">
        <v>27234.899999999998</v>
      </c>
      <c r="E72" s="1">
        <v>13479.899999999998</v>
      </c>
    </row>
    <row r="73" spans="1:5" x14ac:dyDescent="0.3">
      <c r="A73" s="25">
        <v>41852</v>
      </c>
      <c r="B73" s="21" t="s">
        <v>28</v>
      </c>
      <c r="C73" s="28" t="s">
        <v>15</v>
      </c>
      <c r="D73" s="1">
        <v>12681.9</v>
      </c>
      <c r="E73" s="1">
        <v>3531.8999999999996</v>
      </c>
    </row>
    <row r="74" spans="1:5" x14ac:dyDescent="0.3">
      <c r="A74" s="25">
        <v>41518</v>
      </c>
      <c r="B74" s="21" t="s">
        <v>29</v>
      </c>
      <c r="C74" s="28" t="s">
        <v>14</v>
      </c>
      <c r="D74" s="1">
        <v>741906</v>
      </c>
      <c r="E74" s="1">
        <v>117406</v>
      </c>
    </row>
    <row r="75" spans="1:5" x14ac:dyDescent="0.3">
      <c r="A75" s="25">
        <v>41548</v>
      </c>
      <c r="B75" s="21" t="s">
        <v>30</v>
      </c>
      <c r="C75" s="28" t="s">
        <v>14</v>
      </c>
      <c r="D75" s="1">
        <v>82046.25</v>
      </c>
      <c r="E75" s="1">
        <v>2486.25</v>
      </c>
    </row>
    <row r="76" spans="1:5" x14ac:dyDescent="0.3">
      <c r="A76" s="25">
        <v>41671</v>
      </c>
      <c r="B76" s="21" t="s">
        <v>22</v>
      </c>
      <c r="C76" s="28" t="s">
        <v>15</v>
      </c>
      <c r="D76" s="1">
        <v>22482.9</v>
      </c>
      <c r="E76" s="1">
        <v>7342.9000000000015</v>
      </c>
    </row>
    <row r="77" spans="1:5" x14ac:dyDescent="0.3">
      <c r="A77" s="25">
        <v>41730</v>
      </c>
      <c r="B77" s="21" t="s">
        <v>24</v>
      </c>
      <c r="C77" s="28" t="s">
        <v>15</v>
      </c>
      <c r="D77" s="1">
        <v>31133.024999999998</v>
      </c>
      <c r="E77" s="1">
        <v>8670.5249999999978</v>
      </c>
    </row>
    <row r="78" spans="1:5" x14ac:dyDescent="0.3">
      <c r="A78" s="25">
        <v>41791</v>
      </c>
      <c r="B78" s="21" t="s">
        <v>26</v>
      </c>
      <c r="C78" s="28" t="s">
        <v>15</v>
      </c>
      <c r="D78" s="1">
        <v>89966.25</v>
      </c>
      <c r="E78" s="1">
        <v>2726.25</v>
      </c>
    </row>
    <row r="79" spans="1:5" x14ac:dyDescent="0.3">
      <c r="A79" s="25">
        <v>41791</v>
      </c>
      <c r="B79" s="21" t="s">
        <v>26</v>
      </c>
      <c r="C79" s="28" t="s">
        <v>15</v>
      </c>
      <c r="D79" s="1">
        <v>97391.25</v>
      </c>
      <c r="E79" s="1">
        <v>2951.25</v>
      </c>
    </row>
    <row r="80" spans="1:5" x14ac:dyDescent="0.3">
      <c r="A80" s="25">
        <v>41821</v>
      </c>
      <c r="B80" s="21" t="s">
        <v>27</v>
      </c>
      <c r="C80" s="28" t="s">
        <v>15</v>
      </c>
      <c r="D80" s="1">
        <v>225596.25</v>
      </c>
      <c r="E80" s="1">
        <v>6836.25</v>
      </c>
    </row>
    <row r="81" spans="1:5" x14ac:dyDescent="0.3">
      <c r="A81" s="25">
        <v>41883</v>
      </c>
      <c r="B81" s="21" t="s">
        <v>29</v>
      </c>
      <c r="C81" s="28" t="s">
        <v>15</v>
      </c>
      <c r="D81" s="1">
        <v>11092.95</v>
      </c>
      <c r="E81" s="1">
        <v>3622.9500000000007</v>
      </c>
    </row>
    <row r="82" spans="1:5" x14ac:dyDescent="0.3">
      <c r="A82" s="25">
        <v>41548</v>
      </c>
      <c r="B82" s="21" t="s">
        <v>30</v>
      </c>
      <c r="C82" s="28" t="s">
        <v>14</v>
      </c>
      <c r="D82" s="1">
        <v>9100.08</v>
      </c>
      <c r="E82" s="1">
        <v>6802.08</v>
      </c>
    </row>
    <row r="83" spans="1:5" x14ac:dyDescent="0.3">
      <c r="A83" s="25">
        <v>41944</v>
      </c>
      <c r="B83" s="21" t="s">
        <v>31</v>
      </c>
      <c r="C83" s="28" t="s">
        <v>15</v>
      </c>
      <c r="D83" s="1">
        <v>862785</v>
      </c>
      <c r="E83" s="1">
        <v>136535</v>
      </c>
    </row>
    <row r="84" spans="1:5" x14ac:dyDescent="0.3">
      <c r="A84" s="25">
        <v>41974</v>
      </c>
      <c r="B84" s="21" t="s">
        <v>32</v>
      </c>
      <c r="C84" s="28" t="s">
        <v>15</v>
      </c>
      <c r="D84" s="1">
        <v>746707.5</v>
      </c>
      <c r="E84" s="1">
        <v>186407.5</v>
      </c>
    </row>
    <row r="85" spans="1:5" x14ac:dyDescent="0.3">
      <c r="A85" s="25">
        <v>41730</v>
      </c>
      <c r="B85" s="21" t="s">
        <v>24</v>
      </c>
      <c r="C85" s="28" t="s">
        <v>15</v>
      </c>
      <c r="D85" s="1">
        <v>76507.200000000012</v>
      </c>
      <c r="E85" s="1">
        <v>37867.200000000004</v>
      </c>
    </row>
    <row r="86" spans="1:5" x14ac:dyDescent="0.3">
      <c r="A86" s="25">
        <v>41760</v>
      </c>
      <c r="B86" s="21" t="s">
        <v>25</v>
      </c>
      <c r="C86" s="28" t="s">
        <v>15</v>
      </c>
      <c r="D86" s="1">
        <v>2508.66</v>
      </c>
      <c r="E86" s="1">
        <v>698.65999999999985</v>
      </c>
    </row>
    <row r="87" spans="1:5" x14ac:dyDescent="0.3">
      <c r="A87" s="25">
        <v>41852</v>
      </c>
      <c r="B87" s="21" t="s">
        <v>28</v>
      </c>
      <c r="C87" s="28" t="s">
        <v>15</v>
      </c>
      <c r="D87" s="1">
        <v>114221.25</v>
      </c>
      <c r="E87" s="1">
        <v>3461.25</v>
      </c>
    </row>
    <row r="88" spans="1:5" x14ac:dyDescent="0.3">
      <c r="A88" s="25">
        <v>41548</v>
      </c>
      <c r="B88" s="21" t="s">
        <v>30</v>
      </c>
      <c r="C88" s="28" t="s">
        <v>14</v>
      </c>
      <c r="D88" s="1">
        <v>82046.25</v>
      </c>
      <c r="E88" s="1">
        <v>2486.25</v>
      </c>
    </row>
    <row r="89" spans="1:5" x14ac:dyDescent="0.3">
      <c r="A89" s="25">
        <v>41579</v>
      </c>
      <c r="B89" s="21" t="s">
        <v>31</v>
      </c>
      <c r="C89" s="28" t="s">
        <v>14</v>
      </c>
      <c r="D89" s="1">
        <v>14497.56</v>
      </c>
      <c r="E89" s="1">
        <v>4037.5599999999995</v>
      </c>
    </row>
    <row r="90" spans="1:5" x14ac:dyDescent="0.3">
      <c r="A90" s="25">
        <v>41699</v>
      </c>
      <c r="B90" s="21" t="s">
        <v>23</v>
      </c>
      <c r="C90" s="28" t="s">
        <v>15</v>
      </c>
      <c r="D90" s="1">
        <v>1822.59</v>
      </c>
      <c r="E90" s="1">
        <v>507.58999999999992</v>
      </c>
    </row>
    <row r="91" spans="1:5" x14ac:dyDescent="0.3">
      <c r="A91" s="25">
        <v>41730</v>
      </c>
      <c r="B91" s="21" t="s">
        <v>24</v>
      </c>
      <c r="C91" s="28" t="s">
        <v>15</v>
      </c>
      <c r="D91" s="1">
        <v>326922.75</v>
      </c>
      <c r="E91" s="1">
        <v>81612.75</v>
      </c>
    </row>
    <row r="92" spans="1:5" x14ac:dyDescent="0.3">
      <c r="A92" s="25">
        <v>41791</v>
      </c>
      <c r="B92" s="21" t="s">
        <v>26</v>
      </c>
      <c r="C92" s="28" t="s">
        <v>15</v>
      </c>
      <c r="D92" s="1">
        <v>89966.25</v>
      </c>
      <c r="E92" s="1">
        <v>2726.25</v>
      </c>
    </row>
    <row r="93" spans="1:5" x14ac:dyDescent="0.3">
      <c r="A93" s="25">
        <v>41791</v>
      </c>
      <c r="B93" s="21" t="s">
        <v>26</v>
      </c>
      <c r="C93" s="28" t="s">
        <v>15</v>
      </c>
      <c r="D93" s="1">
        <v>97391.25</v>
      </c>
      <c r="E93" s="1">
        <v>2951.25</v>
      </c>
    </row>
    <row r="94" spans="1:5" x14ac:dyDescent="0.3">
      <c r="A94" s="25">
        <v>41883</v>
      </c>
      <c r="B94" s="21" t="s">
        <v>29</v>
      </c>
      <c r="C94" s="28" t="s">
        <v>15</v>
      </c>
      <c r="D94" s="1">
        <v>292842</v>
      </c>
      <c r="E94" s="1">
        <v>46342</v>
      </c>
    </row>
    <row r="95" spans="1:5" x14ac:dyDescent="0.3">
      <c r="A95" s="25">
        <v>41548</v>
      </c>
      <c r="B95" s="21" t="s">
        <v>30</v>
      </c>
      <c r="C95" s="28" t="s">
        <v>14</v>
      </c>
      <c r="D95" s="1">
        <v>146718</v>
      </c>
      <c r="E95" s="1">
        <v>23218</v>
      </c>
    </row>
    <row r="96" spans="1:5" x14ac:dyDescent="0.3">
      <c r="A96" s="25">
        <v>41913</v>
      </c>
      <c r="B96" s="21" t="s">
        <v>30</v>
      </c>
      <c r="C96" s="28" t="s">
        <v>15</v>
      </c>
      <c r="D96" s="1">
        <v>484060.5</v>
      </c>
      <c r="E96" s="1">
        <v>120840.5</v>
      </c>
    </row>
    <row r="97" spans="1:5" x14ac:dyDescent="0.3">
      <c r="A97" s="25">
        <v>41944</v>
      </c>
      <c r="B97" s="21" t="s">
        <v>31</v>
      </c>
      <c r="C97" s="28" t="s">
        <v>15</v>
      </c>
      <c r="D97" s="1">
        <v>215820</v>
      </c>
      <c r="E97" s="1">
        <v>6540</v>
      </c>
    </row>
    <row r="98" spans="1:5" x14ac:dyDescent="0.3">
      <c r="A98" s="25">
        <v>41518</v>
      </c>
      <c r="B98" s="21" t="s">
        <v>29</v>
      </c>
      <c r="C98" s="28" t="s">
        <v>14</v>
      </c>
      <c r="D98" s="1">
        <v>23629.32</v>
      </c>
      <c r="E98" s="1">
        <v>17662.32</v>
      </c>
    </row>
    <row r="99" spans="1:5" x14ac:dyDescent="0.3">
      <c r="A99" s="25">
        <v>41579</v>
      </c>
      <c r="B99" s="21" t="s">
        <v>31</v>
      </c>
      <c r="C99" s="28" t="s">
        <v>14</v>
      </c>
      <c r="D99" s="1">
        <v>4766.8500000000004</v>
      </c>
      <c r="E99" s="1">
        <v>1556.8500000000004</v>
      </c>
    </row>
    <row r="100" spans="1:5" x14ac:dyDescent="0.3">
      <c r="A100" s="25">
        <v>41730</v>
      </c>
      <c r="B100" s="21" t="s">
        <v>24</v>
      </c>
      <c r="C100" s="28" t="s">
        <v>15</v>
      </c>
      <c r="D100" s="1">
        <v>90956.25</v>
      </c>
      <c r="E100" s="1">
        <v>1856.25</v>
      </c>
    </row>
    <row r="101" spans="1:5" x14ac:dyDescent="0.3">
      <c r="A101" s="25">
        <v>41913</v>
      </c>
      <c r="B101" s="21" t="s">
        <v>30</v>
      </c>
      <c r="C101" s="28" t="s">
        <v>15</v>
      </c>
      <c r="D101" s="1">
        <v>15229.2</v>
      </c>
      <c r="E101" s="1">
        <v>11344.2</v>
      </c>
    </row>
    <row r="102" spans="1:5" x14ac:dyDescent="0.3">
      <c r="A102" s="25">
        <v>41548</v>
      </c>
      <c r="B102" s="21" t="s">
        <v>30</v>
      </c>
      <c r="C102" s="28" t="s">
        <v>14</v>
      </c>
      <c r="D102" s="1">
        <v>62916</v>
      </c>
      <c r="E102" s="1">
        <v>9416</v>
      </c>
    </row>
    <row r="103" spans="1:5" x14ac:dyDescent="0.3">
      <c r="A103" s="25">
        <v>41579</v>
      </c>
      <c r="B103" s="21" t="s">
        <v>31</v>
      </c>
      <c r="C103" s="28" t="s">
        <v>14</v>
      </c>
      <c r="D103" s="1">
        <v>14714.7</v>
      </c>
      <c r="E103" s="1">
        <v>3989.7000000000007</v>
      </c>
    </row>
    <row r="104" spans="1:5" x14ac:dyDescent="0.3">
      <c r="A104" s="25">
        <v>41974</v>
      </c>
      <c r="B104" s="21" t="s">
        <v>32</v>
      </c>
      <c r="C104" s="28" t="s">
        <v>15</v>
      </c>
      <c r="D104" s="1">
        <v>978236</v>
      </c>
      <c r="E104" s="1">
        <v>236716</v>
      </c>
    </row>
    <row r="105" spans="1:5" x14ac:dyDescent="0.3">
      <c r="A105" s="25">
        <v>41791</v>
      </c>
      <c r="B105" s="21" t="s">
        <v>26</v>
      </c>
      <c r="C105" s="28" t="s">
        <v>15</v>
      </c>
      <c r="D105" s="1">
        <v>13429.92</v>
      </c>
      <c r="E105" s="1">
        <v>10003.92</v>
      </c>
    </row>
    <row r="106" spans="1:5" x14ac:dyDescent="0.3">
      <c r="A106" s="25">
        <v>41913</v>
      </c>
      <c r="B106" s="21" t="s">
        <v>30</v>
      </c>
      <c r="C106" s="28" t="s">
        <v>15</v>
      </c>
      <c r="D106" s="1">
        <v>30693.599999999999</v>
      </c>
      <c r="E106" s="1">
        <v>15033.599999999999</v>
      </c>
    </row>
    <row r="107" spans="1:5" x14ac:dyDescent="0.3">
      <c r="A107" s="25">
        <v>41944</v>
      </c>
      <c r="B107" s="21" t="s">
        <v>31</v>
      </c>
      <c r="C107" s="28" t="s">
        <v>15</v>
      </c>
      <c r="D107" s="1">
        <v>8114.4</v>
      </c>
      <c r="E107" s="1">
        <v>6044.4</v>
      </c>
    </row>
    <row r="108" spans="1:5" x14ac:dyDescent="0.3">
      <c r="A108" s="25">
        <v>41579</v>
      </c>
      <c r="B108" s="21" t="s">
        <v>31</v>
      </c>
      <c r="C108" s="28" t="s">
        <v>14</v>
      </c>
      <c r="D108" s="1">
        <v>203350</v>
      </c>
      <c r="E108" s="1">
        <v>4150</v>
      </c>
    </row>
    <row r="109" spans="1:5" x14ac:dyDescent="0.3">
      <c r="A109" s="25">
        <v>41671</v>
      </c>
      <c r="B109" s="21" t="s">
        <v>22</v>
      </c>
      <c r="C109" s="28" t="s">
        <v>15</v>
      </c>
      <c r="D109" s="1">
        <v>34736.1</v>
      </c>
      <c r="E109" s="1">
        <v>11106.099999999999</v>
      </c>
    </row>
    <row r="110" spans="1:5" x14ac:dyDescent="0.3">
      <c r="A110" s="25">
        <v>41760</v>
      </c>
      <c r="B110" s="21" t="s">
        <v>25</v>
      </c>
      <c r="C110" s="28" t="s">
        <v>15</v>
      </c>
      <c r="D110" s="1">
        <v>269892</v>
      </c>
      <c r="E110" s="1">
        <v>40392</v>
      </c>
    </row>
    <row r="111" spans="1:5" x14ac:dyDescent="0.3">
      <c r="A111" s="25">
        <v>41760</v>
      </c>
      <c r="B111" s="21" t="s">
        <v>25</v>
      </c>
      <c r="C111" s="28" t="s">
        <v>15</v>
      </c>
      <c r="D111" s="1">
        <v>508032</v>
      </c>
      <c r="E111" s="1">
        <v>76032</v>
      </c>
    </row>
    <row r="112" spans="1:5" x14ac:dyDescent="0.3">
      <c r="A112" s="25">
        <v>41791</v>
      </c>
      <c r="B112" s="21" t="s">
        <v>26</v>
      </c>
      <c r="C112" s="28" t="s">
        <v>15</v>
      </c>
      <c r="D112" s="1">
        <v>13429.92</v>
      </c>
      <c r="E112" s="1">
        <v>10003.92</v>
      </c>
    </row>
    <row r="113" spans="1:5" x14ac:dyDescent="0.3">
      <c r="A113" s="25">
        <v>41791</v>
      </c>
      <c r="B113" s="21" t="s">
        <v>26</v>
      </c>
      <c r="C113" s="28" t="s">
        <v>15</v>
      </c>
      <c r="D113" s="1">
        <v>81095</v>
      </c>
      <c r="E113" s="1">
        <v>1655</v>
      </c>
    </row>
    <row r="114" spans="1:5" x14ac:dyDescent="0.3">
      <c r="A114" s="25">
        <v>41913</v>
      </c>
      <c r="B114" s="21" t="s">
        <v>30</v>
      </c>
      <c r="C114" s="28" t="s">
        <v>15</v>
      </c>
      <c r="D114" s="1">
        <v>15229.2</v>
      </c>
      <c r="E114" s="1">
        <v>11344.2</v>
      </c>
    </row>
    <row r="115" spans="1:5" x14ac:dyDescent="0.3">
      <c r="A115" s="25">
        <v>41548</v>
      </c>
      <c r="B115" s="21" t="s">
        <v>30</v>
      </c>
      <c r="C115" s="28" t="s">
        <v>14</v>
      </c>
      <c r="D115" s="1">
        <v>99102.5</v>
      </c>
      <c r="E115" s="1">
        <v>2022.5</v>
      </c>
    </row>
    <row r="116" spans="1:5" x14ac:dyDescent="0.3">
      <c r="A116" s="25">
        <v>41548</v>
      </c>
      <c r="B116" s="21" t="s">
        <v>30</v>
      </c>
      <c r="C116" s="28" t="s">
        <v>14</v>
      </c>
      <c r="D116" s="1">
        <v>262762.5</v>
      </c>
      <c r="E116" s="1">
        <v>5362.5</v>
      </c>
    </row>
    <row r="117" spans="1:5" x14ac:dyDescent="0.3">
      <c r="A117" s="25">
        <v>41579</v>
      </c>
      <c r="B117" s="21" t="s">
        <v>31</v>
      </c>
      <c r="C117" s="28" t="s">
        <v>14</v>
      </c>
      <c r="D117" s="1">
        <v>20991.599999999999</v>
      </c>
      <c r="E117" s="1">
        <v>15636.599999999999</v>
      </c>
    </row>
    <row r="118" spans="1:5" x14ac:dyDescent="0.3">
      <c r="A118" s="25">
        <v>41974</v>
      </c>
      <c r="B118" s="21" t="s">
        <v>32</v>
      </c>
      <c r="C118" s="28" t="s">
        <v>15</v>
      </c>
      <c r="D118" s="1">
        <v>563304</v>
      </c>
      <c r="E118" s="1">
        <v>84304</v>
      </c>
    </row>
    <row r="119" spans="1:5" x14ac:dyDescent="0.3">
      <c r="A119" s="25">
        <v>41974</v>
      </c>
      <c r="B119" s="21" t="s">
        <v>32</v>
      </c>
      <c r="C119" s="28" t="s">
        <v>15</v>
      </c>
      <c r="D119" s="1">
        <v>978236</v>
      </c>
      <c r="E119" s="1">
        <v>236716</v>
      </c>
    </row>
    <row r="120" spans="1:5" x14ac:dyDescent="0.3">
      <c r="A120" s="25">
        <v>41974</v>
      </c>
      <c r="B120" s="21" t="s">
        <v>32</v>
      </c>
      <c r="C120" s="28" t="s">
        <v>15</v>
      </c>
      <c r="D120" s="1">
        <v>334302.5</v>
      </c>
      <c r="E120" s="1">
        <v>6822.5</v>
      </c>
    </row>
    <row r="121" spans="1:5" x14ac:dyDescent="0.3">
      <c r="A121" s="25">
        <v>41609</v>
      </c>
      <c r="B121" s="21" t="s">
        <v>32</v>
      </c>
      <c r="C121" s="28" t="s">
        <v>14</v>
      </c>
      <c r="D121" s="1">
        <v>28297.5</v>
      </c>
      <c r="E121" s="1">
        <v>9047.5</v>
      </c>
    </row>
    <row r="122" spans="1:5" x14ac:dyDescent="0.3">
      <c r="A122" s="25">
        <v>41609</v>
      </c>
      <c r="B122" s="21" t="s">
        <v>32</v>
      </c>
      <c r="C122" s="28" t="s">
        <v>14</v>
      </c>
      <c r="D122" s="1">
        <v>13809.18</v>
      </c>
      <c r="E122" s="1">
        <v>3744.1800000000003</v>
      </c>
    </row>
    <row r="123" spans="1:5" x14ac:dyDescent="0.3">
      <c r="A123" s="25">
        <v>41974</v>
      </c>
      <c r="B123" s="21" t="s">
        <v>32</v>
      </c>
      <c r="C123" s="28" t="s">
        <v>15</v>
      </c>
      <c r="D123" s="1">
        <v>12406.8</v>
      </c>
      <c r="E123" s="1">
        <v>9241.7999999999993</v>
      </c>
    </row>
    <row r="124" spans="1:5" x14ac:dyDescent="0.3">
      <c r="A124" s="25">
        <v>41974</v>
      </c>
      <c r="B124" s="21" t="s">
        <v>32</v>
      </c>
      <c r="C124" s="28" t="s">
        <v>15</v>
      </c>
      <c r="D124" s="1">
        <v>12747.84</v>
      </c>
      <c r="E124" s="1">
        <v>9495.84</v>
      </c>
    </row>
    <row r="125" spans="1:5" x14ac:dyDescent="0.3">
      <c r="A125" s="25">
        <v>41913</v>
      </c>
      <c r="B125" s="21" t="s">
        <v>30</v>
      </c>
      <c r="C125" s="28" t="s">
        <v>15</v>
      </c>
      <c r="D125" s="1">
        <v>30693.599999999999</v>
      </c>
      <c r="E125" s="1">
        <v>15033.599999999999</v>
      </c>
    </row>
    <row r="126" spans="1:5" x14ac:dyDescent="0.3">
      <c r="A126" s="25">
        <v>41548</v>
      </c>
      <c r="B126" s="21" t="s">
        <v>30</v>
      </c>
      <c r="C126" s="28" t="s">
        <v>14</v>
      </c>
      <c r="D126" s="1">
        <v>1017338</v>
      </c>
      <c r="E126" s="1">
        <v>246178</v>
      </c>
    </row>
    <row r="127" spans="1:5" x14ac:dyDescent="0.3">
      <c r="A127" s="25">
        <v>41913</v>
      </c>
      <c r="B127" s="21" t="s">
        <v>30</v>
      </c>
      <c r="C127" s="28" t="s">
        <v>15</v>
      </c>
      <c r="D127" s="1">
        <v>986811</v>
      </c>
      <c r="E127" s="1">
        <v>238791</v>
      </c>
    </row>
    <row r="128" spans="1:5" x14ac:dyDescent="0.3">
      <c r="A128" s="25">
        <v>41548</v>
      </c>
      <c r="B128" s="21" t="s">
        <v>30</v>
      </c>
      <c r="C128" s="28" t="s">
        <v>14</v>
      </c>
      <c r="D128" s="1">
        <v>99102.5</v>
      </c>
      <c r="E128" s="1">
        <v>2022.5</v>
      </c>
    </row>
    <row r="129" spans="1:5" x14ac:dyDescent="0.3">
      <c r="A129" s="25">
        <v>41548</v>
      </c>
      <c r="B129" s="21" t="s">
        <v>30</v>
      </c>
      <c r="C129" s="28" t="s">
        <v>14</v>
      </c>
      <c r="D129" s="1">
        <v>262762.5</v>
      </c>
      <c r="E129" s="1">
        <v>5362.5</v>
      </c>
    </row>
    <row r="130" spans="1:5" x14ac:dyDescent="0.3">
      <c r="A130" s="25">
        <v>41974</v>
      </c>
      <c r="B130" s="21" t="s">
        <v>32</v>
      </c>
      <c r="C130" s="28" t="s">
        <v>15</v>
      </c>
      <c r="D130" s="1">
        <v>12406.8</v>
      </c>
      <c r="E130" s="1">
        <v>9241.7999999999993</v>
      </c>
    </row>
    <row r="131" spans="1:5" x14ac:dyDescent="0.3">
      <c r="A131" s="25">
        <v>41609</v>
      </c>
      <c r="B131" s="21" t="s">
        <v>32</v>
      </c>
      <c r="C131" s="28" t="s">
        <v>14</v>
      </c>
      <c r="D131" s="1">
        <v>10662.4</v>
      </c>
      <c r="E131" s="1">
        <v>5222.3999999999996</v>
      </c>
    </row>
    <row r="132" spans="1:5" x14ac:dyDescent="0.3">
      <c r="A132" s="25">
        <v>41974</v>
      </c>
      <c r="B132" s="21" t="s">
        <v>32</v>
      </c>
      <c r="C132" s="28" t="s">
        <v>15</v>
      </c>
      <c r="D132" s="1">
        <v>12747.84</v>
      </c>
      <c r="E132" s="1">
        <v>9495.84</v>
      </c>
    </row>
    <row r="133" spans="1:5" x14ac:dyDescent="0.3">
      <c r="A133" s="25">
        <v>41791</v>
      </c>
      <c r="B133" s="21" t="s">
        <v>26</v>
      </c>
      <c r="C133" s="28" t="s">
        <v>15</v>
      </c>
      <c r="D133" s="1">
        <v>81095</v>
      </c>
      <c r="E133" s="1">
        <v>1655</v>
      </c>
    </row>
    <row r="134" spans="1:5" x14ac:dyDescent="0.3">
      <c r="A134" s="25">
        <v>41548</v>
      </c>
      <c r="B134" s="21" t="s">
        <v>30</v>
      </c>
      <c r="C134" s="28" t="s">
        <v>14</v>
      </c>
      <c r="D134" s="1">
        <v>62916</v>
      </c>
      <c r="E134" s="1">
        <v>9416</v>
      </c>
    </row>
    <row r="135" spans="1:5" x14ac:dyDescent="0.3">
      <c r="A135" s="25">
        <v>41913</v>
      </c>
      <c r="B135" s="21" t="s">
        <v>30</v>
      </c>
      <c r="C135" s="28" t="s">
        <v>15</v>
      </c>
      <c r="D135" s="1">
        <v>986811</v>
      </c>
      <c r="E135" s="1">
        <v>238791</v>
      </c>
    </row>
    <row r="136" spans="1:5" x14ac:dyDescent="0.3">
      <c r="A136" s="25">
        <v>41974</v>
      </c>
      <c r="B136" s="21" t="s">
        <v>32</v>
      </c>
      <c r="C136" s="28" t="s">
        <v>15</v>
      </c>
      <c r="D136" s="1">
        <v>334302.5</v>
      </c>
      <c r="E136" s="1">
        <v>6822.5</v>
      </c>
    </row>
    <row r="137" spans="1:5" x14ac:dyDescent="0.3">
      <c r="A137" s="25">
        <v>41609</v>
      </c>
      <c r="B137" s="21" t="s">
        <v>32</v>
      </c>
      <c r="C137" s="28" t="s">
        <v>14</v>
      </c>
      <c r="D137" s="1">
        <v>91238</v>
      </c>
      <c r="E137" s="1">
        <v>22078</v>
      </c>
    </row>
    <row r="138" spans="1:5" x14ac:dyDescent="0.3">
      <c r="A138" s="25">
        <v>41609</v>
      </c>
      <c r="B138" s="21" t="s">
        <v>32</v>
      </c>
      <c r="C138" s="28" t="s">
        <v>14</v>
      </c>
      <c r="D138" s="1">
        <v>665420</v>
      </c>
      <c r="E138" s="1">
        <v>161020</v>
      </c>
    </row>
    <row r="139" spans="1:5" x14ac:dyDescent="0.3">
      <c r="A139" s="25">
        <v>41699</v>
      </c>
      <c r="B139" s="21" t="s">
        <v>23</v>
      </c>
      <c r="C139" s="28" t="s">
        <v>15</v>
      </c>
      <c r="D139" s="1">
        <v>76146</v>
      </c>
      <c r="E139" s="1">
        <v>11396</v>
      </c>
    </row>
    <row r="140" spans="1:5" x14ac:dyDescent="0.3">
      <c r="A140" s="25">
        <v>41699</v>
      </c>
      <c r="B140" s="21" t="s">
        <v>23</v>
      </c>
      <c r="C140" s="28" t="s">
        <v>15</v>
      </c>
      <c r="D140" s="1">
        <v>323694</v>
      </c>
      <c r="E140" s="1">
        <v>48444</v>
      </c>
    </row>
    <row r="141" spans="1:5" x14ac:dyDescent="0.3">
      <c r="A141" s="25">
        <v>41760</v>
      </c>
      <c r="B141" s="21" t="s">
        <v>25</v>
      </c>
      <c r="C141" s="28" t="s">
        <v>15</v>
      </c>
      <c r="D141" s="1">
        <v>278810</v>
      </c>
      <c r="E141" s="1">
        <v>5690</v>
      </c>
    </row>
    <row r="142" spans="1:5" x14ac:dyDescent="0.3">
      <c r="A142" s="25">
        <v>41548</v>
      </c>
      <c r="B142" s="21" t="s">
        <v>30</v>
      </c>
      <c r="C142" s="28" t="s">
        <v>14</v>
      </c>
      <c r="D142" s="1">
        <v>1017338</v>
      </c>
      <c r="E142" s="1">
        <v>246178</v>
      </c>
    </row>
    <row r="143" spans="1:5" x14ac:dyDescent="0.3">
      <c r="A143" s="25">
        <v>41944</v>
      </c>
      <c r="B143" s="21" t="s">
        <v>31</v>
      </c>
      <c r="C143" s="28" t="s">
        <v>15</v>
      </c>
      <c r="D143" s="1">
        <v>24225.599999999999</v>
      </c>
      <c r="E143" s="1">
        <v>11865.599999999999</v>
      </c>
    </row>
    <row r="144" spans="1:5" x14ac:dyDescent="0.3">
      <c r="A144" s="25">
        <v>41944</v>
      </c>
      <c r="B144" s="21" t="s">
        <v>31</v>
      </c>
      <c r="C144" s="28" t="s">
        <v>15</v>
      </c>
      <c r="D144" s="1">
        <v>18443.599999999999</v>
      </c>
      <c r="E144" s="1">
        <v>9033.5999999999985</v>
      </c>
    </row>
    <row r="145" spans="1:5" x14ac:dyDescent="0.3">
      <c r="A145" s="25">
        <v>41974</v>
      </c>
      <c r="B145" s="21" t="s">
        <v>32</v>
      </c>
      <c r="C145" s="28" t="s">
        <v>15</v>
      </c>
      <c r="D145" s="1">
        <v>563304</v>
      </c>
      <c r="E145" s="1">
        <v>84304</v>
      </c>
    </row>
    <row r="146" spans="1:5" x14ac:dyDescent="0.3">
      <c r="A146" s="25">
        <v>41730</v>
      </c>
      <c r="B146" s="21" t="s">
        <v>24</v>
      </c>
      <c r="C146" s="28" t="s">
        <v>15</v>
      </c>
      <c r="D146" s="1">
        <v>514524.375</v>
      </c>
      <c r="E146" s="1">
        <v>5304.375</v>
      </c>
    </row>
    <row r="147" spans="1:5" x14ac:dyDescent="0.3">
      <c r="A147" s="25">
        <v>41730</v>
      </c>
      <c r="B147" s="21" t="s">
        <v>24</v>
      </c>
      <c r="C147" s="28" t="s">
        <v>15</v>
      </c>
      <c r="D147" s="1">
        <v>50052</v>
      </c>
      <c r="E147" s="1">
        <v>24252</v>
      </c>
    </row>
    <row r="148" spans="1:5" x14ac:dyDescent="0.3">
      <c r="A148" s="25">
        <v>41791</v>
      </c>
      <c r="B148" s="21" t="s">
        <v>26</v>
      </c>
      <c r="C148" s="28" t="s">
        <v>15</v>
      </c>
      <c r="D148" s="1">
        <v>200499</v>
      </c>
      <c r="E148" s="1">
        <v>28249</v>
      </c>
    </row>
    <row r="149" spans="1:5" x14ac:dyDescent="0.3">
      <c r="A149" s="25">
        <v>41883</v>
      </c>
      <c r="B149" s="21" t="s">
        <v>29</v>
      </c>
      <c r="C149" s="28" t="s">
        <v>15</v>
      </c>
      <c r="D149" s="1">
        <v>22663.08</v>
      </c>
      <c r="E149" s="1">
        <v>16822.080000000002</v>
      </c>
    </row>
    <row r="150" spans="1:5" x14ac:dyDescent="0.3">
      <c r="A150" s="25">
        <v>41609</v>
      </c>
      <c r="B150" s="21" t="s">
        <v>32</v>
      </c>
      <c r="C150" s="28" t="s">
        <v>14</v>
      </c>
      <c r="D150" s="1">
        <v>10569.12</v>
      </c>
      <c r="E150" s="1">
        <v>7845.1200000000008</v>
      </c>
    </row>
    <row r="151" spans="1:5" x14ac:dyDescent="0.3">
      <c r="A151" s="25">
        <v>41671</v>
      </c>
      <c r="B151" s="21" t="s">
        <v>22</v>
      </c>
      <c r="C151" s="28" t="s">
        <v>15</v>
      </c>
      <c r="D151" s="1">
        <v>13294.82</v>
      </c>
      <c r="E151" s="1">
        <v>3504.8199999999997</v>
      </c>
    </row>
    <row r="152" spans="1:5" x14ac:dyDescent="0.3">
      <c r="A152" s="25">
        <v>41791</v>
      </c>
      <c r="B152" s="21" t="s">
        <v>26</v>
      </c>
      <c r="C152" s="28" t="s">
        <v>15</v>
      </c>
      <c r="D152" s="1">
        <v>22127.64</v>
      </c>
      <c r="E152" s="1">
        <v>16424.64</v>
      </c>
    </row>
    <row r="153" spans="1:5" x14ac:dyDescent="0.3">
      <c r="A153" s="25">
        <v>41883</v>
      </c>
      <c r="B153" s="21" t="s">
        <v>29</v>
      </c>
      <c r="C153" s="28" t="s">
        <v>15</v>
      </c>
      <c r="D153" s="1">
        <v>3693.76</v>
      </c>
      <c r="E153" s="1">
        <v>973.76000000000022</v>
      </c>
    </row>
    <row r="154" spans="1:5" x14ac:dyDescent="0.3">
      <c r="A154" s="25">
        <v>41518</v>
      </c>
      <c r="B154" s="21" t="s">
        <v>29</v>
      </c>
      <c r="C154" s="28" t="s">
        <v>14</v>
      </c>
      <c r="D154" s="1">
        <v>610081.5</v>
      </c>
      <c r="E154" s="1">
        <v>142861.5</v>
      </c>
    </row>
    <row r="155" spans="1:5" x14ac:dyDescent="0.3">
      <c r="A155" s="25">
        <v>41974</v>
      </c>
      <c r="B155" s="21" t="s">
        <v>32</v>
      </c>
      <c r="C155" s="28" t="s">
        <v>15</v>
      </c>
      <c r="D155" s="1">
        <v>156048.75</v>
      </c>
      <c r="E155" s="1">
        <v>1608.75</v>
      </c>
    </row>
    <row r="156" spans="1:5" x14ac:dyDescent="0.3">
      <c r="A156" s="25">
        <v>41974</v>
      </c>
      <c r="B156" s="21" t="s">
        <v>32</v>
      </c>
      <c r="C156" s="28" t="s">
        <v>15</v>
      </c>
      <c r="D156" s="1">
        <v>206852.5</v>
      </c>
      <c r="E156" s="1">
        <v>2132.5</v>
      </c>
    </row>
    <row r="157" spans="1:5" x14ac:dyDescent="0.3">
      <c r="A157" s="25">
        <v>41640</v>
      </c>
      <c r="B157" s="21" t="s">
        <v>21</v>
      </c>
      <c r="C157" s="28" t="s">
        <v>15</v>
      </c>
      <c r="D157" s="1">
        <v>708439.5</v>
      </c>
      <c r="E157" s="1">
        <v>99814.5</v>
      </c>
    </row>
    <row r="158" spans="1:5" x14ac:dyDescent="0.3">
      <c r="A158" s="25">
        <v>41699</v>
      </c>
      <c r="B158" s="21" t="s">
        <v>23</v>
      </c>
      <c r="C158" s="28" t="s">
        <v>15</v>
      </c>
      <c r="D158" s="1">
        <v>215097.5</v>
      </c>
      <c r="E158" s="1">
        <v>2217.5</v>
      </c>
    </row>
    <row r="159" spans="1:5" x14ac:dyDescent="0.3">
      <c r="A159" s="25">
        <v>41791</v>
      </c>
      <c r="B159" s="21" t="s">
        <v>26</v>
      </c>
      <c r="C159" s="28" t="s">
        <v>15</v>
      </c>
      <c r="D159" s="1">
        <v>22127.64</v>
      </c>
      <c r="E159" s="1">
        <v>16424.64</v>
      </c>
    </row>
    <row r="160" spans="1:5" x14ac:dyDescent="0.3">
      <c r="A160" s="25">
        <v>41791</v>
      </c>
      <c r="B160" s="21" t="s">
        <v>26</v>
      </c>
      <c r="C160" s="28" t="s">
        <v>15</v>
      </c>
      <c r="D160" s="1">
        <v>200499</v>
      </c>
      <c r="E160" s="1">
        <v>28249</v>
      </c>
    </row>
    <row r="161" spans="1:5" x14ac:dyDescent="0.3">
      <c r="A161" s="25">
        <v>41791</v>
      </c>
      <c r="B161" s="21" t="s">
        <v>26</v>
      </c>
      <c r="C161" s="28" t="s">
        <v>15</v>
      </c>
      <c r="D161" s="1">
        <v>190362.5</v>
      </c>
      <c r="E161" s="1">
        <v>1962.5</v>
      </c>
    </row>
    <row r="162" spans="1:5" x14ac:dyDescent="0.3">
      <c r="A162" s="25">
        <v>41821</v>
      </c>
      <c r="B162" s="21" t="s">
        <v>27</v>
      </c>
      <c r="C162" s="28" t="s">
        <v>15</v>
      </c>
      <c r="D162" s="1">
        <v>15940.98</v>
      </c>
      <c r="E162" s="1">
        <v>11832.48</v>
      </c>
    </row>
    <row r="163" spans="1:5" x14ac:dyDescent="0.3">
      <c r="A163" s="25">
        <v>41913</v>
      </c>
      <c r="B163" s="21" t="s">
        <v>30</v>
      </c>
      <c r="C163" s="28" t="s">
        <v>15</v>
      </c>
      <c r="D163" s="1">
        <v>243591.25</v>
      </c>
      <c r="E163" s="1">
        <v>2511.25</v>
      </c>
    </row>
    <row r="164" spans="1:5" x14ac:dyDescent="0.3">
      <c r="A164" s="25">
        <v>41548</v>
      </c>
      <c r="B164" s="21" t="s">
        <v>30</v>
      </c>
      <c r="C164" s="28" t="s">
        <v>14</v>
      </c>
      <c r="D164" s="1">
        <v>28299.75</v>
      </c>
      <c r="E164" s="1">
        <v>8849.75</v>
      </c>
    </row>
    <row r="165" spans="1:5" x14ac:dyDescent="0.3">
      <c r="A165" s="25">
        <v>41974</v>
      </c>
      <c r="B165" s="21" t="s">
        <v>32</v>
      </c>
      <c r="C165" s="28" t="s">
        <v>15</v>
      </c>
      <c r="D165" s="1">
        <v>156048.75</v>
      </c>
      <c r="E165" s="1">
        <v>1608.75</v>
      </c>
    </row>
    <row r="166" spans="1:5" x14ac:dyDescent="0.3">
      <c r="A166" s="25">
        <v>41974</v>
      </c>
      <c r="B166" s="21" t="s">
        <v>32</v>
      </c>
      <c r="C166" s="28" t="s">
        <v>15</v>
      </c>
      <c r="D166" s="1">
        <v>206852.5</v>
      </c>
      <c r="E166" s="1">
        <v>2132.5</v>
      </c>
    </row>
    <row r="167" spans="1:5" x14ac:dyDescent="0.3">
      <c r="A167" s="25">
        <v>41913</v>
      </c>
      <c r="B167" s="21" t="s">
        <v>30</v>
      </c>
      <c r="C167" s="28" t="s">
        <v>15</v>
      </c>
      <c r="D167" s="1">
        <v>243591.25</v>
      </c>
      <c r="E167" s="1">
        <v>2511.25</v>
      </c>
    </row>
    <row r="168" spans="1:5" x14ac:dyDescent="0.3">
      <c r="A168" s="25">
        <v>41671</v>
      </c>
      <c r="B168" s="21" t="s">
        <v>22</v>
      </c>
      <c r="C168" s="28" t="s">
        <v>15</v>
      </c>
      <c r="D168" s="1">
        <v>827604</v>
      </c>
      <c r="E168" s="1">
        <v>116604</v>
      </c>
    </row>
    <row r="169" spans="1:5" x14ac:dyDescent="0.3">
      <c r="A169" s="25">
        <v>41730</v>
      </c>
      <c r="B169" s="21" t="s">
        <v>24</v>
      </c>
      <c r="C169" s="28" t="s">
        <v>15</v>
      </c>
      <c r="D169" s="1">
        <v>22302.240000000002</v>
      </c>
      <c r="E169" s="1">
        <v>16554.240000000002</v>
      </c>
    </row>
    <row r="170" spans="1:5" x14ac:dyDescent="0.3">
      <c r="A170" s="25">
        <v>41791</v>
      </c>
      <c r="B170" s="21" t="s">
        <v>26</v>
      </c>
      <c r="C170" s="28" t="s">
        <v>15</v>
      </c>
      <c r="D170" s="1">
        <v>190362.5</v>
      </c>
      <c r="E170" s="1">
        <v>1962.5</v>
      </c>
    </row>
    <row r="171" spans="1:5" x14ac:dyDescent="0.3">
      <c r="A171" s="25">
        <v>41852</v>
      </c>
      <c r="B171" s="21" t="s">
        <v>28</v>
      </c>
      <c r="C171" s="28" t="s">
        <v>15</v>
      </c>
      <c r="D171" s="1">
        <v>545334</v>
      </c>
      <c r="E171" s="1">
        <v>76834</v>
      </c>
    </row>
    <row r="172" spans="1:5" x14ac:dyDescent="0.3">
      <c r="A172" s="25">
        <v>41852</v>
      </c>
      <c r="B172" s="21" t="s">
        <v>28</v>
      </c>
      <c r="C172" s="28" t="s">
        <v>15</v>
      </c>
      <c r="D172" s="1">
        <v>557459</v>
      </c>
      <c r="E172" s="1">
        <v>130539</v>
      </c>
    </row>
    <row r="173" spans="1:5" x14ac:dyDescent="0.3">
      <c r="A173" s="25">
        <v>41548</v>
      </c>
      <c r="B173" s="21" t="s">
        <v>30</v>
      </c>
      <c r="C173" s="28" t="s">
        <v>14</v>
      </c>
      <c r="D173" s="1">
        <v>28299.75</v>
      </c>
      <c r="E173" s="1">
        <v>8849.75</v>
      </c>
    </row>
    <row r="174" spans="1:5" x14ac:dyDescent="0.3">
      <c r="A174" s="25">
        <v>41760</v>
      </c>
      <c r="B174" s="21" t="s">
        <v>25</v>
      </c>
      <c r="C174" s="28" t="s">
        <v>15</v>
      </c>
      <c r="D174" s="1">
        <v>16121.4</v>
      </c>
      <c r="E174" s="1">
        <v>7811.4</v>
      </c>
    </row>
    <row r="175" spans="1:5" x14ac:dyDescent="0.3">
      <c r="A175" s="25">
        <v>41518</v>
      </c>
      <c r="B175" s="21" t="s">
        <v>29</v>
      </c>
      <c r="C175" s="28" t="s">
        <v>14</v>
      </c>
      <c r="D175" s="1">
        <v>11950.4</v>
      </c>
      <c r="E175" s="1">
        <v>3150.3999999999996</v>
      </c>
    </row>
    <row r="176" spans="1:5" x14ac:dyDescent="0.3">
      <c r="A176" s="25">
        <v>41730</v>
      </c>
      <c r="B176" s="21" t="s">
        <v>24</v>
      </c>
      <c r="C176" s="28" t="s">
        <v>15</v>
      </c>
      <c r="D176" s="1">
        <v>74699.700000000012</v>
      </c>
      <c r="E176" s="1">
        <v>36194.700000000004</v>
      </c>
    </row>
    <row r="177" spans="1:5" x14ac:dyDescent="0.3">
      <c r="A177" s="25">
        <v>41640</v>
      </c>
      <c r="B177" s="21" t="s">
        <v>21</v>
      </c>
      <c r="C177" s="28" t="s">
        <v>15</v>
      </c>
      <c r="D177" s="1">
        <v>28855.56</v>
      </c>
      <c r="E177" s="1">
        <v>21418.560000000001</v>
      </c>
    </row>
    <row r="178" spans="1:5" x14ac:dyDescent="0.3">
      <c r="A178" s="25">
        <v>41913</v>
      </c>
      <c r="B178" s="21" t="s">
        <v>30</v>
      </c>
      <c r="C178" s="28" t="s">
        <v>15</v>
      </c>
      <c r="D178" s="1">
        <v>29246.400000000001</v>
      </c>
      <c r="E178" s="1">
        <v>8936.4000000000015</v>
      </c>
    </row>
    <row r="179" spans="1:5" x14ac:dyDescent="0.3">
      <c r="A179" s="25">
        <v>41913</v>
      </c>
      <c r="B179" s="21" t="s">
        <v>30</v>
      </c>
      <c r="C179" s="28" t="s">
        <v>15</v>
      </c>
      <c r="D179" s="1">
        <v>29246.400000000001</v>
      </c>
      <c r="E179" s="1">
        <v>8936.4000000000015</v>
      </c>
    </row>
    <row r="180" spans="1:5" x14ac:dyDescent="0.3">
      <c r="A180" s="25">
        <v>41609</v>
      </c>
      <c r="B180" s="21" t="s">
        <v>32</v>
      </c>
      <c r="C180" s="28" t="s">
        <v>14</v>
      </c>
      <c r="D180" s="1">
        <v>32558.400000000001</v>
      </c>
      <c r="E180" s="1">
        <v>9948.4000000000015</v>
      </c>
    </row>
    <row r="181" spans="1:5" x14ac:dyDescent="0.3">
      <c r="A181" s="25">
        <v>41518</v>
      </c>
      <c r="B181" s="21" t="s">
        <v>29</v>
      </c>
      <c r="C181" s="28" t="s">
        <v>14</v>
      </c>
      <c r="D181" s="1">
        <v>14131.2</v>
      </c>
      <c r="E181" s="1">
        <v>6771.2000000000007</v>
      </c>
    </row>
    <row r="182" spans="1:5" x14ac:dyDescent="0.3">
      <c r="A182" s="25">
        <v>41548</v>
      </c>
      <c r="B182" s="21" t="s">
        <v>30</v>
      </c>
      <c r="C182" s="28" t="s">
        <v>14</v>
      </c>
      <c r="D182" s="1">
        <v>19158.72</v>
      </c>
      <c r="E182" s="1">
        <v>4903.7200000000012</v>
      </c>
    </row>
    <row r="183" spans="1:5" x14ac:dyDescent="0.3">
      <c r="A183" s="25">
        <v>41913</v>
      </c>
      <c r="B183" s="21" t="s">
        <v>30</v>
      </c>
      <c r="C183" s="28" t="s">
        <v>15</v>
      </c>
      <c r="D183" s="1">
        <v>582048</v>
      </c>
      <c r="E183" s="1">
        <v>76798</v>
      </c>
    </row>
    <row r="184" spans="1:5" x14ac:dyDescent="0.3">
      <c r="A184" s="25">
        <v>41974</v>
      </c>
      <c r="B184" s="21" t="s">
        <v>32</v>
      </c>
      <c r="C184" s="28" t="s">
        <v>15</v>
      </c>
      <c r="D184" s="1">
        <v>92064</v>
      </c>
      <c r="E184" s="1">
        <v>20824</v>
      </c>
    </row>
    <row r="185" spans="1:5" x14ac:dyDescent="0.3">
      <c r="A185" s="25">
        <v>41699</v>
      </c>
      <c r="B185" s="21" t="s">
        <v>23</v>
      </c>
      <c r="C185" s="28" t="s">
        <v>15</v>
      </c>
      <c r="D185" s="1">
        <v>28324.799999999999</v>
      </c>
      <c r="E185" s="1">
        <v>8654.7999999999993</v>
      </c>
    </row>
    <row r="186" spans="1:5" x14ac:dyDescent="0.3">
      <c r="A186" s="25">
        <v>41852</v>
      </c>
      <c r="B186" s="21" t="s">
        <v>28</v>
      </c>
      <c r="C186" s="28" t="s">
        <v>15</v>
      </c>
      <c r="D186" s="1">
        <v>535392</v>
      </c>
      <c r="E186" s="1">
        <v>70642</v>
      </c>
    </row>
    <row r="187" spans="1:5" x14ac:dyDescent="0.3">
      <c r="A187" s="25">
        <v>41548</v>
      </c>
      <c r="B187" s="21" t="s">
        <v>30</v>
      </c>
      <c r="C187" s="28" t="s">
        <v>14</v>
      </c>
      <c r="D187" s="1">
        <v>19158.72</v>
      </c>
      <c r="E187" s="1">
        <v>4903.7200000000012</v>
      </c>
    </row>
    <row r="188" spans="1:5" x14ac:dyDescent="0.3">
      <c r="A188" s="25">
        <v>41913</v>
      </c>
      <c r="B188" s="21" t="s">
        <v>30</v>
      </c>
      <c r="C188" s="28" t="s">
        <v>15</v>
      </c>
      <c r="D188" s="1">
        <v>582048</v>
      </c>
      <c r="E188" s="1">
        <v>76798</v>
      </c>
    </row>
    <row r="189" spans="1:5" x14ac:dyDescent="0.3">
      <c r="A189" s="25">
        <v>41974</v>
      </c>
      <c r="B189" s="21" t="s">
        <v>32</v>
      </c>
      <c r="C189" s="28" t="s">
        <v>15</v>
      </c>
      <c r="D189" s="1">
        <v>136560</v>
      </c>
      <c r="E189" s="1">
        <v>0</v>
      </c>
    </row>
    <row r="190" spans="1:5" x14ac:dyDescent="0.3">
      <c r="A190" s="25">
        <v>41640</v>
      </c>
      <c r="B190" s="21" t="s">
        <v>21</v>
      </c>
      <c r="C190" s="28" t="s">
        <v>15</v>
      </c>
      <c r="D190" s="1">
        <v>28566.720000000001</v>
      </c>
      <c r="E190" s="1">
        <v>7311.7199999999993</v>
      </c>
    </row>
    <row r="191" spans="1:5" x14ac:dyDescent="0.3">
      <c r="A191" s="25">
        <v>41699</v>
      </c>
      <c r="B191" s="21" t="s">
        <v>23</v>
      </c>
      <c r="C191" s="28" t="s">
        <v>15</v>
      </c>
      <c r="D191" s="1">
        <v>95400</v>
      </c>
      <c r="E191" s="1">
        <v>0</v>
      </c>
    </row>
    <row r="192" spans="1:5" x14ac:dyDescent="0.3">
      <c r="A192" s="25">
        <v>41730</v>
      </c>
      <c r="B192" s="21" t="s">
        <v>24</v>
      </c>
      <c r="C192" s="28" t="s">
        <v>15</v>
      </c>
      <c r="D192" s="1">
        <v>407376</v>
      </c>
      <c r="E192" s="1">
        <v>53751</v>
      </c>
    </row>
    <row r="193" spans="1:5" x14ac:dyDescent="0.3">
      <c r="A193" s="25">
        <v>41760</v>
      </c>
      <c r="B193" s="21" t="s">
        <v>25</v>
      </c>
      <c r="C193" s="28" t="s">
        <v>15</v>
      </c>
      <c r="D193" s="1">
        <v>840384</v>
      </c>
      <c r="E193" s="1">
        <v>110884</v>
      </c>
    </row>
    <row r="194" spans="1:5" x14ac:dyDescent="0.3">
      <c r="A194" s="25">
        <v>41821</v>
      </c>
      <c r="B194" s="21" t="s">
        <v>27</v>
      </c>
      <c r="C194" s="28" t="s">
        <v>15</v>
      </c>
      <c r="D194" s="1">
        <v>1159200</v>
      </c>
      <c r="E194" s="1">
        <v>262200</v>
      </c>
    </row>
    <row r="195" spans="1:5" x14ac:dyDescent="0.3">
      <c r="A195" s="25">
        <v>41821</v>
      </c>
      <c r="B195" s="21" t="s">
        <v>27</v>
      </c>
      <c r="C195" s="28" t="s">
        <v>15</v>
      </c>
      <c r="D195" s="1">
        <v>358560</v>
      </c>
      <c r="E195" s="1">
        <v>0</v>
      </c>
    </row>
    <row r="196" spans="1:5" x14ac:dyDescent="0.3">
      <c r="A196" s="25">
        <v>41883</v>
      </c>
      <c r="B196" s="21" t="s">
        <v>29</v>
      </c>
      <c r="C196" s="28" t="s">
        <v>15</v>
      </c>
      <c r="D196" s="1">
        <v>3139.2</v>
      </c>
      <c r="E196" s="1">
        <v>959.19999999999982</v>
      </c>
    </row>
    <row r="197" spans="1:5" x14ac:dyDescent="0.3">
      <c r="A197" s="25">
        <v>41883</v>
      </c>
      <c r="B197" s="21" t="s">
        <v>29</v>
      </c>
      <c r="C197" s="28" t="s">
        <v>15</v>
      </c>
      <c r="D197" s="1">
        <v>39820.800000000003</v>
      </c>
      <c r="E197" s="1">
        <v>19080.800000000003</v>
      </c>
    </row>
    <row r="198" spans="1:5" x14ac:dyDescent="0.3">
      <c r="A198" s="25">
        <v>41883</v>
      </c>
      <c r="B198" s="21" t="s">
        <v>29</v>
      </c>
      <c r="C198" s="28" t="s">
        <v>15</v>
      </c>
      <c r="D198" s="1">
        <v>20275.2</v>
      </c>
      <c r="E198" s="1">
        <v>9715.2000000000007</v>
      </c>
    </row>
    <row r="199" spans="1:5" x14ac:dyDescent="0.3">
      <c r="A199" s="25">
        <v>41548</v>
      </c>
      <c r="B199" s="21" t="s">
        <v>30</v>
      </c>
      <c r="C199" s="28" t="s">
        <v>14</v>
      </c>
      <c r="D199" s="1">
        <v>9662.4</v>
      </c>
      <c r="E199" s="1">
        <v>2952.3999999999996</v>
      </c>
    </row>
    <row r="200" spans="1:5" x14ac:dyDescent="0.3">
      <c r="A200" s="25">
        <v>41548</v>
      </c>
      <c r="B200" s="21" t="s">
        <v>30</v>
      </c>
      <c r="C200" s="28" t="s">
        <v>14</v>
      </c>
      <c r="D200" s="1">
        <v>21801.599999999999</v>
      </c>
      <c r="E200" s="1">
        <v>6661.5999999999985</v>
      </c>
    </row>
    <row r="201" spans="1:5" x14ac:dyDescent="0.3">
      <c r="A201" s="25">
        <v>41974</v>
      </c>
      <c r="B201" s="21" t="s">
        <v>32</v>
      </c>
      <c r="C201" s="28" t="s">
        <v>15</v>
      </c>
      <c r="D201" s="1">
        <v>92064</v>
      </c>
      <c r="E201" s="1">
        <v>20824</v>
      </c>
    </row>
    <row r="202" spans="1:5" x14ac:dyDescent="0.3">
      <c r="A202" s="25">
        <v>41974</v>
      </c>
      <c r="B202" s="21" t="s">
        <v>32</v>
      </c>
      <c r="C202" s="28" t="s">
        <v>15</v>
      </c>
      <c r="D202" s="1">
        <v>136560</v>
      </c>
      <c r="E202" s="1">
        <v>0</v>
      </c>
    </row>
    <row r="203" spans="1:5" x14ac:dyDescent="0.3">
      <c r="A203" s="25">
        <v>41699</v>
      </c>
      <c r="B203" s="21" t="s">
        <v>23</v>
      </c>
      <c r="C203" s="28" t="s">
        <v>15</v>
      </c>
      <c r="D203" s="1">
        <v>16876.8</v>
      </c>
      <c r="E203" s="1">
        <v>12481.8</v>
      </c>
    </row>
    <row r="204" spans="1:5" x14ac:dyDescent="0.3">
      <c r="A204" s="25">
        <v>41518</v>
      </c>
      <c r="B204" s="21" t="s">
        <v>29</v>
      </c>
      <c r="C204" s="28" t="s">
        <v>14</v>
      </c>
      <c r="D204" s="1">
        <v>50803.199999999997</v>
      </c>
      <c r="E204" s="1">
        <v>24343.199999999997</v>
      </c>
    </row>
    <row r="205" spans="1:5" x14ac:dyDescent="0.3">
      <c r="A205" s="25">
        <v>41913</v>
      </c>
      <c r="B205" s="21" t="s">
        <v>30</v>
      </c>
      <c r="C205" s="28" t="s">
        <v>15</v>
      </c>
      <c r="D205" s="1">
        <v>731472</v>
      </c>
      <c r="E205" s="1">
        <v>165452</v>
      </c>
    </row>
    <row r="206" spans="1:5" x14ac:dyDescent="0.3">
      <c r="A206" s="25">
        <v>41760</v>
      </c>
      <c r="B206" s="21" t="s">
        <v>25</v>
      </c>
      <c r="C206" s="28" t="s">
        <v>15</v>
      </c>
      <c r="D206" s="1">
        <v>9976.32</v>
      </c>
      <c r="E206" s="1">
        <v>7378.32</v>
      </c>
    </row>
    <row r="207" spans="1:5" x14ac:dyDescent="0.3">
      <c r="A207" s="25">
        <v>41518</v>
      </c>
      <c r="B207" s="21" t="s">
        <v>29</v>
      </c>
      <c r="C207" s="28" t="s">
        <v>14</v>
      </c>
      <c r="D207" s="1">
        <v>117264</v>
      </c>
      <c r="E207" s="1">
        <v>26524</v>
      </c>
    </row>
    <row r="208" spans="1:5" x14ac:dyDescent="0.3">
      <c r="A208" s="25">
        <v>41913</v>
      </c>
      <c r="B208" s="21" t="s">
        <v>30</v>
      </c>
      <c r="C208" s="28" t="s">
        <v>15</v>
      </c>
      <c r="D208" s="1">
        <v>731472</v>
      </c>
      <c r="E208" s="1">
        <v>165452</v>
      </c>
    </row>
    <row r="209" spans="1:5" x14ac:dyDescent="0.3">
      <c r="A209" s="25">
        <v>41548</v>
      </c>
      <c r="B209" s="21" t="s">
        <v>30</v>
      </c>
      <c r="C209" s="28" t="s">
        <v>14</v>
      </c>
      <c r="D209" s="1">
        <v>21801.599999999999</v>
      </c>
      <c r="E209" s="1">
        <v>6661.5999999999985</v>
      </c>
    </row>
    <row r="210" spans="1:5" x14ac:dyDescent="0.3">
      <c r="A210" s="25">
        <v>41671</v>
      </c>
      <c r="B210" s="21" t="s">
        <v>22</v>
      </c>
      <c r="C210" s="28" t="s">
        <v>15</v>
      </c>
      <c r="D210" s="1">
        <v>626640</v>
      </c>
      <c r="E210" s="1">
        <v>141740</v>
      </c>
    </row>
    <row r="211" spans="1:5" x14ac:dyDescent="0.3">
      <c r="A211" s="25">
        <v>41730</v>
      </c>
      <c r="B211" s="21" t="s">
        <v>24</v>
      </c>
      <c r="C211" s="28" t="s">
        <v>15</v>
      </c>
      <c r="D211" s="1">
        <v>128880</v>
      </c>
      <c r="E211" s="1">
        <v>0</v>
      </c>
    </row>
    <row r="212" spans="1:5" x14ac:dyDescent="0.3">
      <c r="A212" s="25">
        <v>41883</v>
      </c>
      <c r="B212" s="21" t="s">
        <v>29</v>
      </c>
      <c r="C212" s="28" t="s">
        <v>15</v>
      </c>
      <c r="D212" s="1">
        <v>640752</v>
      </c>
      <c r="E212" s="1">
        <v>144932</v>
      </c>
    </row>
    <row r="213" spans="1:5" x14ac:dyDescent="0.3">
      <c r="A213" s="25">
        <v>41548</v>
      </c>
      <c r="B213" s="21" t="s">
        <v>30</v>
      </c>
      <c r="C213" s="28" t="s">
        <v>14</v>
      </c>
      <c r="D213" s="1">
        <v>9662.4</v>
      </c>
      <c r="E213" s="1">
        <v>2952.3999999999996</v>
      </c>
    </row>
    <row r="214" spans="1:5" x14ac:dyDescent="0.3">
      <c r="A214" s="25">
        <v>41609</v>
      </c>
      <c r="B214" s="21" t="s">
        <v>32</v>
      </c>
      <c r="C214" s="28" t="s">
        <v>14</v>
      </c>
      <c r="D214" s="1">
        <v>597408</v>
      </c>
      <c r="E214" s="1">
        <v>135128</v>
      </c>
    </row>
    <row r="215" spans="1:5" x14ac:dyDescent="0.3">
      <c r="A215" s="25">
        <v>41548</v>
      </c>
      <c r="B215" s="21" t="s">
        <v>30</v>
      </c>
      <c r="C215" s="28" t="s">
        <v>14</v>
      </c>
      <c r="D215" s="1">
        <v>7707.35</v>
      </c>
      <c r="E215" s="1">
        <v>1912.3500000000004</v>
      </c>
    </row>
    <row r="216" spans="1:5" x14ac:dyDescent="0.3">
      <c r="A216" s="25">
        <v>41640</v>
      </c>
      <c r="B216" s="21" t="s">
        <v>21</v>
      </c>
      <c r="C216" s="28" t="s">
        <v>15</v>
      </c>
      <c r="D216" s="1">
        <v>9123.7999999999993</v>
      </c>
      <c r="E216" s="1">
        <v>2263.7999999999993</v>
      </c>
    </row>
    <row r="217" spans="1:5" x14ac:dyDescent="0.3">
      <c r="A217" s="25">
        <v>41518</v>
      </c>
      <c r="B217" s="21" t="s">
        <v>29</v>
      </c>
      <c r="C217" s="28" t="s">
        <v>14</v>
      </c>
      <c r="D217" s="1">
        <v>15620.85</v>
      </c>
      <c r="E217" s="1">
        <v>3875.8500000000004</v>
      </c>
    </row>
    <row r="218" spans="1:5" x14ac:dyDescent="0.3">
      <c r="A218" s="25">
        <v>41913</v>
      </c>
      <c r="B218" s="21" t="s">
        <v>30</v>
      </c>
      <c r="C218" s="28" t="s">
        <v>15</v>
      </c>
      <c r="D218" s="1">
        <v>17881.849999999999</v>
      </c>
      <c r="E218" s="1">
        <v>4436.8499999999985</v>
      </c>
    </row>
    <row r="219" spans="1:5" x14ac:dyDescent="0.3">
      <c r="A219" s="25">
        <v>41974</v>
      </c>
      <c r="B219" s="21" t="s">
        <v>32</v>
      </c>
      <c r="C219" s="28" t="s">
        <v>15</v>
      </c>
      <c r="D219" s="1">
        <v>27713.4</v>
      </c>
      <c r="E219" s="1">
        <v>20420.400000000001</v>
      </c>
    </row>
    <row r="220" spans="1:5" x14ac:dyDescent="0.3">
      <c r="A220" s="25">
        <v>41974</v>
      </c>
      <c r="B220" s="21" t="s">
        <v>32</v>
      </c>
      <c r="C220" s="28" t="s">
        <v>15</v>
      </c>
      <c r="D220" s="1">
        <v>27713.4</v>
      </c>
      <c r="E220" s="1">
        <v>20420.400000000001</v>
      </c>
    </row>
    <row r="221" spans="1:5" x14ac:dyDescent="0.3">
      <c r="A221" s="25">
        <v>41913</v>
      </c>
      <c r="B221" s="21" t="s">
        <v>30</v>
      </c>
      <c r="C221" s="28" t="s">
        <v>15</v>
      </c>
      <c r="D221" s="1">
        <v>17881.849999999999</v>
      </c>
      <c r="E221" s="1">
        <v>4436.8499999999985</v>
      </c>
    </row>
    <row r="222" spans="1:5" x14ac:dyDescent="0.3">
      <c r="A222" s="25">
        <v>41821</v>
      </c>
      <c r="B222" s="21" t="s">
        <v>27</v>
      </c>
      <c r="C222" s="28" t="s">
        <v>15</v>
      </c>
      <c r="D222" s="1">
        <v>11191.95</v>
      </c>
      <c r="E222" s="1">
        <v>2776.9500000000007</v>
      </c>
    </row>
    <row r="223" spans="1:5" x14ac:dyDescent="0.3">
      <c r="A223" s="25">
        <v>41852</v>
      </c>
      <c r="B223" s="21" t="s">
        <v>28</v>
      </c>
      <c r="C223" s="28" t="s">
        <v>15</v>
      </c>
      <c r="D223" s="1">
        <v>12802.2</v>
      </c>
      <c r="E223" s="1">
        <v>9433.2000000000007</v>
      </c>
    </row>
    <row r="224" spans="1:5" x14ac:dyDescent="0.3">
      <c r="A224" s="25">
        <v>41548</v>
      </c>
      <c r="B224" s="21" t="s">
        <v>30</v>
      </c>
      <c r="C224" s="28" t="s">
        <v>14</v>
      </c>
      <c r="D224" s="1">
        <v>7707.35</v>
      </c>
      <c r="E224" s="1">
        <v>1912.3500000000004</v>
      </c>
    </row>
    <row r="225" spans="1:5" x14ac:dyDescent="0.3">
      <c r="A225" s="25">
        <v>41671</v>
      </c>
      <c r="B225" s="21" t="s">
        <v>22</v>
      </c>
      <c r="C225" s="28" t="s">
        <v>15</v>
      </c>
      <c r="D225" s="1">
        <v>21261</v>
      </c>
      <c r="E225" s="1">
        <v>15666</v>
      </c>
    </row>
    <row r="226" spans="1:5" x14ac:dyDescent="0.3">
      <c r="A226" s="25">
        <v>41671</v>
      </c>
      <c r="B226" s="21" t="s">
        <v>22</v>
      </c>
      <c r="C226" s="28" t="s">
        <v>15</v>
      </c>
      <c r="D226" s="1">
        <v>12722.4</v>
      </c>
      <c r="E226" s="1">
        <v>9374.4</v>
      </c>
    </row>
    <row r="227" spans="1:5" x14ac:dyDescent="0.3">
      <c r="A227" s="25">
        <v>41760</v>
      </c>
      <c r="B227" s="21" t="s">
        <v>25</v>
      </c>
      <c r="C227" s="28" t="s">
        <v>15</v>
      </c>
      <c r="D227" s="1">
        <v>29697</v>
      </c>
      <c r="E227" s="1">
        <v>14067</v>
      </c>
    </row>
    <row r="228" spans="1:5" x14ac:dyDescent="0.3">
      <c r="A228" s="25">
        <v>41791</v>
      </c>
      <c r="B228" s="21" t="s">
        <v>26</v>
      </c>
      <c r="C228" s="28" t="s">
        <v>15</v>
      </c>
      <c r="D228" s="1">
        <v>282435</v>
      </c>
      <c r="E228" s="1">
        <v>34685</v>
      </c>
    </row>
    <row r="229" spans="1:5" x14ac:dyDescent="0.3">
      <c r="A229" s="25">
        <v>41579</v>
      </c>
      <c r="B229" s="21" t="s">
        <v>31</v>
      </c>
      <c r="C229" s="28" t="s">
        <v>14</v>
      </c>
      <c r="D229" s="1">
        <v>6756.4</v>
      </c>
      <c r="E229" s="1">
        <v>1676.3999999999996</v>
      </c>
    </row>
    <row r="230" spans="1:5" x14ac:dyDescent="0.3">
      <c r="A230" s="25">
        <v>41944</v>
      </c>
      <c r="B230" s="21" t="s">
        <v>31</v>
      </c>
      <c r="C230" s="28" t="s">
        <v>15</v>
      </c>
      <c r="D230" s="1">
        <v>39771.75</v>
      </c>
      <c r="E230" s="1">
        <v>11861.75</v>
      </c>
    </row>
    <row r="231" spans="1:5" x14ac:dyDescent="0.3">
      <c r="A231" s="25">
        <v>41974</v>
      </c>
      <c r="B231" s="21" t="s">
        <v>32</v>
      </c>
      <c r="C231" s="28" t="s">
        <v>15</v>
      </c>
      <c r="D231" s="1">
        <v>3790.5</v>
      </c>
      <c r="E231" s="1">
        <v>940.5</v>
      </c>
    </row>
    <row r="232" spans="1:5" x14ac:dyDescent="0.3">
      <c r="A232" s="25">
        <v>41974</v>
      </c>
      <c r="B232" s="21" t="s">
        <v>32</v>
      </c>
      <c r="C232" s="28" t="s">
        <v>15</v>
      </c>
      <c r="D232" s="1">
        <v>16538.55</v>
      </c>
      <c r="E232" s="1">
        <v>4103.5499999999993</v>
      </c>
    </row>
    <row r="233" spans="1:5" x14ac:dyDescent="0.3">
      <c r="A233" s="25">
        <v>41640</v>
      </c>
      <c r="B233" s="21" t="s">
        <v>21</v>
      </c>
      <c r="C233" s="28" t="s">
        <v>15</v>
      </c>
      <c r="D233" s="1">
        <v>460346.25</v>
      </c>
      <c r="E233" s="1">
        <v>100376.25</v>
      </c>
    </row>
    <row r="234" spans="1:5" x14ac:dyDescent="0.3">
      <c r="A234" s="25">
        <v>41821</v>
      </c>
      <c r="B234" s="21" t="s">
        <v>27</v>
      </c>
      <c r="C234" s="28" t="s">
        <v>15</v>
      </c>
      <c r="D234" s="1">
        <v>430706.25</v>
      </c>
      <c r="E234" s="1">
        <v>-4533.75</v>
      </c>
    </row>
    <row r="235" spans="1:5" x14ac:dyDescent="0.3">
      <c r="A235" s="25">
        <v>41518</v>
      </c>
      <c r="B235" s="21" t="s">
        <v>29</v>
      </c>
      <c r="C235" s="28" t="s">
        <v>14</v>
      </c>
      <c r="D235" s="1">
        <v>239400</v>
      </c>
      <c r="E235" s="1">
        <v>52200</v>
      </c>
    </row>
    <row r="236" spans="1:5" x14ac:dyDescent="0.3">
      <c r="A236" s="25">
        <v>41944</v>
      </c>
      <c r="B236" s="21" t="s">
        <v>31</v>
      </c>
      <c r="C236" s="28" t="s">
        <v>15</v>
      </c>
      <c r="D236" s="1">
        <v>26698.799999999999</v>
      </c>
      <c r="E236" s="1">
        <v>19672.8</v>
      </c>
    </row>
    <row r="237" spans="1:5" x14ac:dyDescent="0.3">
      <c r="A237" s="25">
        <v>41609</v>
      </c>
      <c r="B237" s="21" t="s">
        <v>32</v>
      </c>
      <c r="C237" s="28" t="s">
        <v>14</v>
      </c>
      <c r="D237" s="1">
        <v>313500</v>
      </c>
      <c r="E237" s="1">
        <v>38500</v>
      </c>
    </row>
    <row r="238" spans="1:5" x14ac:dyDescent="0.3">
      <c r="A238" s="25">
        <v>41671</v>
      </c>
      <c r="B238" s="21" t="s">
        <v>22</v>
      </c>
      <c r="C238" s="28" t="s">
        <v>15</v>
      </c>
      <c r="D238" s="1">
        <v>24757</v>
      </c>
      <c r="E238" s="1">
        <v>11727</v>
      </c>
    </row>
    <row r="239" spans="1:5" x14ac:dyDescent="0.3">
      <c r="A239" s="25">
        <v>41699</v>
      </c>
      <c r="B239" s="21" t="s">
        <v>23</v>
      </c>
      <c r="C239" s="28" t="s">
        <v>15</v>
      </c>
      <c r="D239" s="1">
        <v>355300</v>
      </c>
      <c r="E239" s="1">
        <v>-3740</v>
      </c>
    </row>
    <row r="240" spans="1:5" x14ac:dyDescent="0.3">
      <c r="A240" s="25">
        <v>41699</v>
      </c>
      <c r="B240" s="21" t="s">
        <v>23</v>
      </c>
      <c r="C240" s="28" t="s">
        <v>15</v>
      </c>
      <c r="D240" s="1">
        <v>283218.75</v>
      </c>
      <c r="E240" s="1">
        <v>-2981.25</v>
      </c>
    </row>
    <row r="241" spans="1:5" x14ac:dyDescent="0.3">
      <c r="A241" s="25">
        <v>41730</v>
      </c>
      <c r="B241" s="21" t="s">
        <v>24</v>
      </c>
      <c r="C241" s="28" t="s">
        <v>15</v>
      </c>
      <c r="D241" s="1">
        <v>457995</v>
      </c>
      <c r="E241" s="1">
        <v>56245</v>
      </c>
    </row>
    <row r="242" spans="1:5" x14ac:dyDescent="0.3">
      <c r="A242" s="25">
        <v>41760</v>
      </c>
      <c r="B242" s="21" t="s">
        <v>25</v>
      </c>
      <c r="C242" s="28" t="s">
        <v>15</v>
      </c>
      <c r="D242" s="1">
        <v>15474.55</v>
      </c>
      <c r="E242" s="1">
        <v>3839.5499999999993</v>
      </c>
    </row>
    <row r="243" spans="1:5" x14ac:dyDescent="0.3">
      <c r="A243" s="25">
        <v>41791</v>
      </c>
      <c r="B243" s="21" t="s">
        <v>26</v>
      </c>
      <c r="C243" s="28" t="s">
        <v>15</v>
      </c>
      <c r="D243" s="1">
        <v>282435</v>
      </c>
      <c r="E243" s="1">
        <v>34685</v>
      </c>
    </row>
    <row r="244" spans="1:5" x14ac:dyDescent="0.3">
      <c r="A244" s="25">
        <v>41791</v>
      </c>
      <c r="B244" s="21" t="s">
        <v>26</v>
      </c>
      <c r="C244" s="28" t="s">
        <v>15</v>
      </c>
      <c r="D244" s="1">
        <v>200165</v>
      </c>
      <c r="E244" s="1">
        <v>43645</v>
      </c>
    </row>
    <row r="245" spans="1:5" x14ac:dyDescent="0.3">
      <c r="A245" s="25">
        <v>41883</v>
      </c>
      <c r="B245" s="21" t="s">
        <v>29</v>
      </c>
      <c r="C245" s="28" t="s">
        <v>15</v>
      </c>
      <c r="D245" s="1">
        <v>37335</v>
      </c>
      <c r="E245" s="1">
        <v>11135</v>
      </c>
    </row>
    <row r="246" spans="1:5" x14ac:dyDescent="0.3">
      <c r="A246" s="25">
        <v>41548</v>
      </c>
      <c r="B246" s="21" t="s">
        <v>30</v>
      </c>
      <c r="C246" s="28" t="s">
        <v>14</v>
      </c>
      <c r="D246" s="1">
        <v>408310</v>
      </c>
      <c r="E246" s="1">
        <v>89030</v>
      </c>
    </row>
    <row r="247" spans="1:5" x14ac:dyDescent="0.3">
      <c r="A247" s="25">
        <v>41548</v>
      </c>
      <c r="B247" s="21" t="s">
        <v>30</v>
      </c>
      <c r="C247" s="28" t="s">
        <v>14</v>
      </c>
      <c r="D247" s="1">
        <v>26391</v>
      </c>
      <c r="E247" s="1">
        <v>12501</v>
      </c>
    </row>
    <row r="248" spans="1:5" x14ac:dyDescent="0.3">
      <c r="A248" s="25">
        <v>41913</v>
      </c>
      <c r="B248" s="21" t="s">
        <v>30</v>
      </c>
      <c r="C248" s="28" t="s">
        <v>15</v>
      </c>
      <c r="D248" s="1">
        <v>102243.75</v>
      </c>
      <c r="E248" s="1">
        <v>-1076.25</v>
      </c>
    </row>
    <row r="249" spans="1:5" x14ac:dyDescent="0.3">
      <c r="A249" s="25">
        <v>41548</v>
      </c>
      <c r="B249" s="21" t="s">
        <v>30</v>
      </c>
      <c r="C249" s="28" t="s">
        <v>14</v>
      </c>
      <c r="D249" s="1">
        <v>83600</v>
      </c>
      <c r="E249" s="1">
        <v>-880</v>
      </c>
    </row>
    <row r="250" spans="1:5" x14ac:dyDescent="0.3">
      <c r="A250" s="25">
        <v>41609</v>
      </c>
      <c r="B250" s="21" t="s">
        <v>32</v>
      </c>
      <c r="C250" s="28" t="s">
        <v>14</v>
      </c>
      <c r="D250" s="1">
        <v>34238</v>
      </c>
      <c r="E250" s="1">
        <v>16218</v>
      </c>
    </row>
    <row r="251" spans="1:5" x14ac:dyDescent="0.3">
      <c r="A251" s="25">
        <v>41974</v>
      </c>
      <c r="B251" s="21" t="s">
        <v>32</v>
      </c>
      <c r="C251" s="28" t="s">
        <v>15</v>
      </c>
      <c r="D251" s="1">
        <v>50597</v>
      </c>
      <c r="E251" s="1">
        <v>23967</v>
      </c>
    </row>
    <row r="252" spans="1:5" x14ac:dyDescent="0.3">
      <c r="A252" s="25">
        <v>41609</v>
      </c>
      <c r="B252" s="21" t="s">
        <v>32</v>
      </c>
      <c r="C252" s="28" t="s">
        <v>14</v>
      </c>
      <c r="D252" s="1">
        <v>14204.4</v>
      </c>
      <c r="E252" s="1">
        <v>3524.3999999999996</v>
      </c>
    </row>
    <row r="253" spans="1:5" x14ac:dyDescent="0.3">
      <c r="A253" s="25">
        <v>41609</v>
      </c>
      <c r="B253" s="21" t="s">
        <v>32</v>
      </c>
      <c r="C253" s="28" t="s">
        <v>14</v>
      </c>
      <c r="D253" s="1">
        <v>30153</v>
      </c>
      <c r="E253" s="1">
        <v>8993</v>
      </c>
    </row>
    <row r="254" spans="1:5" x14ac:dyDescent="0.3">
      <c r="A254" s="25">
        <v>41640</v>
      </c>
      <c r="B254" s="21" t="s">
        <v>21</v>
      </c>
      <c r="C254" s="28" t="s">
        <v>15</v>
      </c>
      <c r="D254" s="1">
        <v>7908.75</v>
      </c>
      <c r="E254" s="1">
        <v>2358.75</v>
      </c>
    </row>
    <row r="255" spans="1:5" x14ac:dyDescent="0.3">
      <c r="A255" s="25">
        <v>41640</v>
      </c>
      <c r="B255" s="21" t="s">
        <v>21</v>
      </c>
      <c r="C255" s="28" t="s">
        <v>15</v>
      </c>
      <c r="D255" s="1">
        <v>40769.25</v>
      </c>
      <c r="E255" s="1">
        <v>12159.25</v>
      </c>
    </row>
    <row r="256" spans="1:5" x14ac:dyDescent="0.3">
      <c r="A256" s="25">
        <v>41671</v>
      </c>
      <c r="B256" s="21" t="s">
        <v>22</v>
      </c>
      <c r="C256" s="28" t="s">
        <v>15</v>
      </c>
      <c r="D256" s="1">
        <v>95831.25</v>
      </c>
      <c r="E256" s="1">
        <v>-1008.75</v>
      </c>
    </row>
    <row r="257" spans="1:5" x14ac:dyDescent="0.3">
      <c r="A257" s="25">
        <v>41791</v>
      </c>
      <c r="B257" s="21" t="s">
        <v>26</v>
      </c>
      <c r="C257" s="28" t="s">
        <v>15</v>
      </c>
      <c r="D257" s="1">
        <v>200165</v>
      </c>
      <c r="E257" s="1">
        <v>43645</v>
      </c>
    </row>
    <row r="258" spans="1:5" x14ac:dyDescent="0.3">
      <c r="A258" s="25">
        <v>41852</v>
      </c>
      <c r="B258" s="21" t="s">
        <v>28</v>
      </c>
      <c r="C258" s="28" t="s">
        <v>15</v>
      </c>
      <c r="D258" s="1">
        <v>53808</v>
      </c>
      <c r="E258" s="1">
        <v>25488</v>
      </c>
    </row>
    <row r="259" spans="1:5" x14ac:dyDescent="0.3">
      <c r="A259" s="25">
        <v>41852</v>
      </c>
      <c r="B259" s="21" t="s">
        <v>28</v>
      </c>
      <c r="C259" s="28" t="s">
        <v>15</v>
      </c>
      <c r="D259" s="1">
        <v>30001</v>
      </c>
      <c r="E259" s="1">
        <v>14211</v>
      </c>
    </row>
    <row r="260" spans="1:5" x14ac:dyDescent="0.3">
      <c r="A260" s="25">
        <v>41913</v>
      </c>
      <c r="B260" s="21" t="s">
        <v>30</v>
      </c>
      <c r="C260" s="28" t="s">
        <v>15</v>
      </c>
      <c r="D260" s="1">
        <v>102243.75</v>
      </c>
      <c r="E260" s="1">
        <v>-1076.25</v>
      </c>
    </row>
    <row r="261" spans="1:5" x14ac:dyDescent="0.3">
      <c r="A261" s="25">
        <v>41548</v>
      </c>
      <c r="B261" s="21" t="s">
        <v>30</v>
      </c>
      <c r="C261" s="28" t="s">
        <v>14</v>
      </c>
      <c r="D261" s="1">
        <v>83600</v>
      </c>
      <c r="E261" s="1">
        <v>-880</v>
      </c>
    </row>
    <row r="262" spans="1:5" x14ac:dyDescent="0.3">
      <c r="A262" s="25">
        <v>41609</v>
      </c>
      <c r="B262" s="21" t="s">
        <v>32</v>
      </c>
      <c r="C262" s="28" t="s">
        <v>14</v>
      </c>
      <c r="D262" s="1">
        <v>19627</v>
      </c>
      <c r="E262" s="1">
        <v>9297</v>
      </c>
    </row>
    <row r="263" spans="1:5" x14ac:dyDescent="0.3">
      <c r="A263" s="25">
        <v>41974</v>
      </c>
      <c r="B263" s="21" t="s">
        <v>32</v>
      </c>
      <c r="C263" s="28" t="s">
        <v>15</v>
      </c>
      <c r="D263" s="1">
        <v>356250</v>
      </c>
      <c r="E263" s="1">
        <v>43750</v>
      </c>
    </row>
    <row r="264" spans="1:5" x14ac:dyDescent="0.3">
      <c r="A264" s="25">
        <v>41548</v>
      </c>
      <c r="B264" s="21" t="s">
        <v>30</v>
      </c>
      <c r="C264" s="28" t="s">
        <v>14</v>
      </c>
      <c r="D264" s="1">
        <v>26391</v>
      </c>
      <c r="E264" s="1">
        <v>12501</v>
      </c>
    </row>
    <row r="265" spans="1:5" x14ac:dyDescent="0.3">
      <c r="A265" s="25">
        <v>41579</v>
      </c>
      <c r="B265" s="21" t="s">
        <v>31</v>
      </c>
      <c r="C265" s="28" t="s">
        <v>14</v>
      </c>
      <c r="D265" s="1">
        <v>24035</v>
      </c>
      <c r="E265" s="1">
        <v>11385</v>
      </c>
    </row>
    <row r="266" spans="1:5" x14ac:dyDescent="0.3">
      <c r="A266" s="25">
        <v>41579</v>
      </c>
      <c r="B266" s="21" t="s">
        <v>31</v>
      </c>
      <c r="C266" s="28" t="s">
        <v>14</v>
      </c>
      <c r="D266" s="1">
        <v>43643</v>
      </c>
      <c r="E266" s="1">
        <v>20673</v>
      </c>
    </row>
    <row r="267" spans="1:5" x14ac:dyDescent="0.3">
      <c r="A267" s="25">
        <v>41974</v>
      </c>
      <c r="B267" s="21" t="s">
        <v>32</v>
      </c>
      <c r="C267" s="28" t="s">
        <v>15</v>
      </c>
      <c r="D267" s="1">
        <v>50597</v>
      </c>
      <c r="E267" s="1">
        <v>23967</v>
      </c>
    </row>
    <row r="268" spans="1:5" x14ac:dyDescent="0.3">
      <c r="A268" s="25">
        <v>41974</v>
      </c>
      <c r="B268" s="21" t="s">
        <v>32</v>
      </c>
      <c r="C268" s="28" t="s">
        <v>15</v>
      </c>
      <c r="D268" s="1">
        <v>3790.5</v>
      </c>
      <c r="E268" s="1">
        <v>940.5</v>
      </c>
    </row>
    <row r="269" spans="1:5" x14ac:dyDescent="0.3">
      <c r="A269" s="25">
        <v>41974</v>
      </c>
      <c r="B269" s="21" t="s">
        <v>32</v>
      </c>
      <c r="C269" s="28" t="s">
        <v>15</v>
      </c>
      <c r="D269" s="1">
        <v>16538.55</v>
      </c>
      <c r="E269" s="1">
        <v>4103.5499999999993</v>
      </c>
    </row>
    <row r="270" spans="1:5" x14ac:dyDescent="0.3">
      <c r="A270" s="25">
        <v>41671</v>
      </c>
      <c r="B270" s="21" t="s">
        <v>22</v>
      </c>
      <c r="C270" s="28" t="s">
        <v>15</v>
      </c>
      <c r="D270" s="1">
        <v>448875</v>
      </c>
      <c r="E270" s="1">
        <v>97875</v>
      </c>
    </row>
    <row r="271" spans="1:5" x14ac:dyDescent="0.3">
      <c r="A271" s="25">
        <v>41852</v>
      </c>
      <c r="B271" s="21" t="s">
        <v>28</v>
      </c>
      <c r="C271" s="28" t="s">
        <v>15</v>
      </c>
      <c r="D271" s="1">
        <v>183540</v>
      </c>
      <c r="E271" s="1">
        <v>40020</v>
      </c>
    </row>
    <row r="272" spans="1:5" x14ac:dyDescent="0.3">
      <c r="A272" s="25">
        <v>41548</v>
      </c>
      <c r="B272" s="21" t="s">
        <v>30</v>
      </c>
      <c r="C272" s="28" t="s">
        <v>14</v>
      </c>
      <c r="D272" s="1">
        <v>408310</v>
      </c>
      <c r="E272" s="1">
        <v>89030</v>
      </c>
    </row>
    <row r="273" spans="1:5" x14ac:dyDescent="0.3">
      <c r="A273" s="25">
        <v>41974</v>
      </c>
      <c r="B273" s="21" t="s">
        <v>32</v>
      </c>
      <c r="C273" s="28" t="s">
        <v>15</v>
      </c>
      <c r="D273" s="1">
        <v>356250</v>
      </c>
      <c r="E273" s="1">
        <v>43750</v>
      </c>
    </row>
    <row r="274" spans="1:5" x14ac:dyDescent="0.3">
      <c r="A274" s="25">
        <v>41730</v>
      </c>
      <c r="B274" s="21" t="s">
        <v>24</v>
      </c>
      <c r="C274" s="28" t="s">
        <v>15</v>
      </c>
      <c r="D274" s="1">
        <v>53594.100000000006</v>
      </c>
      <c r="E274" s="1">
        <v>15584.100000000002</v>
      </c>
    </row>
    <row r="275" spans="1:5" x14ac:dyDescent="0.3">
      <c r="A275" s="25">
        <v>41640</v>
      </c>
      <c r="B275" s="21" t="s">
        <v>21</v>
      </c>
      <c r="C275" s="28" t="s">
        <v>15</v>
      </c>
      <c r="D275" s="1">
        <v>21009</v>
      </c>
      <c r="E275" s="1">
        <v>9834</v>
      </c>
    </row>
    <row r="276" spans="1:5" x14ac:dyDescent="0.3">
      <c r="A276" s="25">
        <v>41791</v>
      </c>
      <c r="B276" s="21" t="s">
        <v>26</v>
      </c>
      <c r="C276" s="28" t="s">
        <v>15</v>
      </c>
      <c r="D276" s="1">
        <v>40100.400000000001</v>
      </c>
      <c r="E276" s="1">
        <v>11660.400000000001</v>
      </c>
    </row>
    <row r="277" spans="1:5" x14ac:dyDescent="0.3">
      <c r="A277" s="25">
        <v>41883</v>
      </c>
      <c r="B277" s="21" t="s">
        <v>29</v>
      </c>
      <c r="C277" s="28" t="s">
        <v>15</v>
      </c>
      <c r="D277" s="1">
        <v>6339.36</v>
      </c>
      <c r="E277" s="1">
        <v>4653.3599999999997</v>
      </c>
    </row>
    <row r="278" spans="1:5" x14ac:dyDescent="0.3">
      <c r="A278" s="25">
        <v>41548</v>
      </c>
      <c r="B278" s="21" t="s">
        <v>30</v>
      </c>
      <c r="C278" s="28" t="s">
        <v>14</v>
      </c>
      <c r="D278" s="1">
        <v>25932.720000000001</v>
      </c>
      <c r="E278" s="1">
        <v>19035.72</v>
      </c>
    </row>
    <row r="279" spans="1:5" x14ac:dyDescent="0.3">
      <c r="A279" s="25">
        <v>41944</v>
      </c>
      <c r="B279" s="21" t="s">
        <v>31</v>
      </c>
      <c r="C279" s="28" t="s">
        <v>15</v>
      </c>
      <c r="D279" s="1">
        <v>28623</v>
      </c>
      <c r="E279" s="1">
        <v>8323</v>
      </c>
    </row>
    <row r="280" spans="1:5" x14ac:dyDescent="0.3">
      <c r="A280" s="25">
        <v>41579</v>
      </c>
      <c r="B280" s="21" t="s">
        <v>31</v>
      </c>
      <c r="C280" s="28" t="s">
        <v>14</v>
      </c>
      <c r="D280" s="1">
        <v>1730.54</v>
      </c>
      <c r="E280" s="1">
        <v>415.53999999999996</v>
      </c>
    </row>
    <row r="281" spans="1:5" x14ac:dyDescent="0.3">
      <c r="A281" s="25">
        <v>41609</v>
      </c>
      <c r="B281" s="21" t="s">
        <v>32</v>
      </c>
      <c r="C281" s="28" t="s">
        <v>14</v>
      </c>
      <c r="D281" s="1">
        <v>104222.5</v>
      </c>
      <c r="E281" s="1">
        <v>-2217.5</v>
      </c>
    </row>
    <row r="282" spans="1:5" x14ac:dyDescent="0.3">
      <c r="A282" s="25">
        <v>41730</v>
      </c>
      <c r="B282" s="21" t="s">
        <v>24</v>
      </c>
      <c r="C282" s="28" t="s">
        <v>15</v>
      </c>
      <c r="D282" s="1">
        <v>322420</v>
      </c>
      <c r="E282" s="1">
        <v>67620</v>
      </c>
    </row>
    <row r="283" spans="1:5" x14ac:dyDescent="0.3">
      <c r="A283" s="25">
        <v>41760</v>
      </c>
      <c r="B283" s="21" t="s">
        <v>25</v>
      </c>
      <c r="C283" s="28" t="s">
        <v>15</v>
      </c>
      <c r="D283" s="1">
        <v>480340</v>
      </c>
      <c r="E283" s="1">
        <v>100740</v>
      </c>
    </row>
    <row r="284" spans="1:5" x14ac:dyDescent="0.3">
      <c r="A284" s="25">
        <v>41548</v>
      </c>
      <c r="B284" s="21" t="s">
        <v>30</v>
      </c>
      <c r="C284" s="28" t="s">
        <v>14</v>
      </c>
      <c r="D284" s="1">
        <v>9231.74</v>
      </c>
      <c r="E284" s="1">
        <v>2216.7399999999998</v>
      </c>
    </row>
    <row r="285" spans="1:5" x14ac:dyDescent="0.3">
      <c r="A285" s="25">
        <v>41944</v>
      </c>
      <c r="B285" s="21" t="s">
        <v>31</v>
      </c>
      <c r="C285" s="28" t="s">
        <v>15</v>
      </c>
      <c r="D285" s="1">
        <v>30715.439999999999</v>
      </c>
      <c r="E285" s="1">
        <v>22546.44</v>
      </c>
    </row>
    <row r="286" spans="1:5" x14ac:dyDescent="0.3">
      <c r="A286" s="25">
        <v>41791</v>
      </c>
      <c r="B286" s="21" t="s">
        <v>26</v>
      </c>
      <c r="C286" s="28" t="s">
        <v>15</v>
      </c>
      <c r="D286" s="1">
        <v>492184</v>
      </c>
      <c r="E286" s="1">
        <v>103224</v>
      </c>
    </row>
    <row r="287" spans="1:5" x14ac:dyDescent="0.3">
      <c r="A287" s="25">
        <v>41548</v>
      </c>
      <c r="B287" s="21" t="s">
        <v>30</v>
      </c>
      <c r="C287" s="28" t="s">
        <v>14</v>
      </c>
      <c r="D287" s="1">
        <v>25932.720000000001</v>
      </c>
      <c r="E287" s="1">
        <v>19035.72</v>
      </c>
    </row>
    <row r="288" spans="1:5" x14ac:dyDescent="0.3">
      <c r="A288" s="25">
        <v>41548</v>
      </c>
      <c r="B288" s="21" t="s">
        <v>30</v>
      </c>
      <c r="C288" s="28" t="s">
        <v>14</v>
      </c>
      <c r="D288" s="1">
        <v>239183</v>
      </c>
      <c r="E288" s="1">
        <v>50163</v>
      </c>
    </row>
    <row r="289" spans="1:5" x14ac:dyDescent="0.3">
      <c r="A289" s="25">
        <v>41671</v>
      </c>
      <c r="B289" s="21" t="s">
        <v>22</v>
      </c>
      <c r="C289" s="28" t="s">
        <v>15</v>
      </c>
      <c r="D289" s="1">
        <v>111860</v>
      </c>
      <c r="E289" s="1">
        <v>-2380</v>
      </c>
    </row>
    <row r="290" spans="1:5" x14ac:dyDescent="0.3">
      <c r="A290" s="25">
        <v>41671</v>
      </c>
      <c r="B290" s="21" t="s">
        <v>22</v>
      </c>
      <c r="C290" s="28" t="s">
        <v>15</v>
      </c>
      <c r="D290" s="1">
        <v>323712.5</v>
      </c>
      <c r="E290" s="1">
        <v>-6887.5</v>
      </c>
    </row>
    <row r="291" spans="1:5" x14ac:dyDescent="0.3">
      <c r="A291" s="25">
        <v>41760</v>
      </c>
      <c r="B291" s="21" t="s">
        <v>25</v>
      </c>
      <c r="C291" s="28" t="s">
        <v>15</v>
      </c>
      <c r="D291" s="1">
        <v>21573</v>
      </c>
      <c r="E291" s="1">
        <v>6273</v>
      </c>
    </row>
    <row r="292" spans="1:5" x14ac:dyDescent="0.3">
      <c r="A292" s="25">
        <v>41791</v>
      </c>
      <c r="B292" s="21" t="s">
        <v>26</v>
      </c>
      <c r="C292" s="28" t="s">
        <v>15</v>
      </c>
      <c r="D292" s="1">
        <v>492184</v>
      </c>
      <c r="E292" s="1">
        <v>103224</v>
      </c>
    </row>
    <row r="293" spans="1:5" x14ac:dyDescent="0.3">
      <c r="A293" s="25">
        <v>41791</v>
      </c>
      <c r="B293" s="21" t="s">
        <v>26</v>
      </c>
      <c r="C293" s="28" t="s">
        <v>15</v>
      </c>
      <c r="D293" s="1">
        <v>9856.84</v>
      </c>
      <c r="E293" s="1">
        <v>2366.84</v>
      </c>
    </row>
    <row r="294" spans="1:5" x14ac:dyDescent="0.3">
      <c r="A294" s="25">
        <v>41548</v>
      </c>
      <c r="B294" s="21" t="s">
        <v>30</v>
      </c>
      <c r="C294" s="28" t="s">
        <v>14</v>
      </c>
      <c r="D294" s="1">
        <v>344322</v>
      </c>
      <c r="E294" s="1">
        <v>39072</v>
      </c>
    </row>
    <row r="295" spans="1:5" x14ac:dyDescent="0.3">
      <c r="A295" s="25">
        <v>41548</v>
      </c>
      <c r="B295" s="21" t="s">
        <v>30</v>
      </c>
      <c r="C295" s="28" t="s">
        <v>14</v>
      </c>
      <c r="D295" s="1">
        <v>683004</v>
      </c>
      <c r="E295" s="1">
        <v>143244</v>
      </c>
    </row>
    <row r="296" spans="1:5" x14ac:dyDescent="0.3">
      <c r="A296" s="25">
        <v>41791</v>
      </c>
      <c r="B296" s="21" t="s">
        <v>26</v>
      </c>
      <c r="C296" s="28" t="s">
        <v>15</v>
      </c>
      <c r="D296" s="1">
        <v>40100.400000000001</v>
      </c>
      <c r="E296" s="1">
        <v>11660.400000000001</v>
      </c>
    </row>
    <row r="297" spans="1:5" x14ac:dyDescent="0.3">
      <c r="A297" s="25">
        <v>41791</v>
      </c>
      <c r="B297" s="21" t="s">
        <v>26</v>
      </c>
      <c r="C297" s="28" t="s">
        <v>15</v>
      </c>
      <c r="D297" s="1">
        <v>9856.84</v>
      </c>
      <c r="E297" s="1">
        <v>2366.84</v>
      </c>
    </row>
    <row r="298" spans="1:5" x14ac:dyDescent="0.3">
      <c r="A298" s="25">
        <v>41548</v>
      </c>
      <c r="B298" s="21" t="s">
        <v>30</v>
      </c>
      <c r="C298" s="28" t="s">
        <v>14</v>
      </c>
      <c r="D298" s="1">
        <v>344322</v>
      </c>
      <c r="E298" s="1">
        <v>39072</v>
      </c>
    </row>
    <row r="299" spans="1:5" x14ac:dyDescent="0.3">
      <c r="A299" s="25">
        <v>41579</v>
      </c>
      <c r="B299" s="21" t="s">
        <v>31</v>
      </c>
      <c r="C299" s="28" t="s">
        <v>14</v>
      </c>
      <c r="D299" s="1">
        <v>21112.400000000001</v>
      </c>
      <c r="E299" s="1">
        <v>9882.4000000000015</v>
      </c>
    </row>
    <row r="300" spans="1:5" x14ac:dyDescent="0.3">
      <c r="A300" s="25">
        <v>41609</v>
      </c>
      <c r="B300" s="21" t="s">
        <v>32</v>
      </c>
      <c r="C300" s="28" t="s">
        <v>14</v>
      </c>
      <c r="D300" s="1">
        <v>686952</v>
      </c>
      <c r="E300" s="1">
        <v>77952</v>
      </c>
    </row>
    <row r="301" spans="1:5" x14ac:dyDescent="0.3">
      <c r="A301" s="25">
        <v>41640</v>
      </c>
      <c r="B301" s="21" t="s">
        <v>21</v>
      </c>
      <c r="C301" s="28" t="s">
        <v>15</v>
      </c>
      <c r="D301" s="1">
        <v>233531.25</v>
      </c>
      <c r="E301" s="1">
        <v>-4968.75</v>
      </c>
    </row>
    <row r="302" spans="1:5" x14ac:dyDescent="0.3">
      <c r="A302" s="25">
        <v>41883</v>
      </c>
      <c r="B302" s="21" t="s">
        <v>29</v>
      </c>
      <c r="C302" s="28" t="s">
        <v>15</v>
      </c>
      <c r="D302" s="1">
        <v>552391</v>
      </c>
      <c r="E302" s="1">
        <v>115851</v>
      </c>
    </row>
    <row r="303" spans="1:5" x14ac:dyDescent="0.3">
      <c r="A303" s="25">
        <v>41548</v>
      </c>
      <c r="B303" s="21" t="s">
        <v>30</v>
      </c>
      <c r="C303" s="28" t="s">
        <v>14</v>
      </c>
      <c r="D303" s="1">
        <v>239183</v>
      </c>
      <c r="E303" s="1">
        <v>50163</v>
      </c>
    </row>
    <row r="304" spans="1:5" x14ac:dyDescent="0.3">
      <c r="A304" s="25">
        <v>41548</v>
      </c>
      <c r="B304" s="21" t="s">
        <v>30</v>
      </c>
      <c r="C304" s="28" t="s">
        <v>14</v>
      </c>
      <c r="D304" s="1">
        <v>9231.74</v>
      </c>
      <c r="E304" s="1">
        <v>2216.7399999999998</v>
      </c>
    </row>
    <row r="305" spans="1:5" x14ac:dyDescent="0.3">
      <c r="A305" s="25">
        <v>41548</v>
      </c>
      <c r="B305" s="21" t="s">
        <v>30</v>
      </c>
      <c r="C305" s="28" t="s">
        <v>14</v>
      </c>
      <c r="D305" s="1">
        <v>683004</v>
      </c>
      <c r="E305" s="1">
        <v>143244</v>
      </c>
    </row>
    <row r="306" spans="1:5" x14ac:dyDescent="0.3">
      <c r="A306" s="25">
        <v>41548</v>
      </c>
      <c r="B306" s="21" t="s">
        <v>30</v>
      </c>
      <c r="C306" s="28" t="s">
        <v>14</v>
      </c>
      <c r="D306" s="1">
        <v>33031.599999999999</v>
      </c>
      <c r="E306" s="1">
        <v>15461.599999999999</v>
      </c>
    </row>
    <row r="307" spans="1:5" x14ac:dyDescent="0.3">
      <c r="A307" s="25">
        <v>41852</v>
      </c>
      <c r="B307" s="21" t="s">
        <v>28</v>
      </c>
      <c r="C307" s="28" t="s">
        <v>15</v>
      </c>
      <c r="D307" s="1">
        <v>30991.8</v>
      </c>
      <c r="E307" s="1">
        <v>9011.7999999999993</v>
      </c>
    </row>
    <row r="308" spans="1:5" x14ac:dyDescent="0.3">
      <c r="A308" s="25">
        <v>41852</v>
      </c>
      <c r="B308" s="21" t="s">
        <v>28</v>
      </c>
      <c r="C308" s="28" t="s">
        <v>15</v>
      </c>
      <c r="D308" s="1">
        <v>24576.3</v>
      </c>
      <c r="E308" s="1">
        <v>7146.2999999999993</v>
      </c>
    </row>
    <row r="309" spans="1:5" x14ac:dyDescent="0.3">
      <c r="A309" s="25">
        <v>41913</v>
      </c>
      <c r="B309" s="21" t="s">
        <v>30</v>
      </c>
      <c r="C309" s="28" t="s">
        <v>15</v>
      </c>
      <c r="D309" s="1">
        <v>16257.3</v>
      </c>
      <c r="E309" s="1">
        <v>4727.2999999999993</v>
      </c>
    </row>
    <row r="310" spans="1:5" x14ac:dyDescent="0.3">
      <c r="A310" s="25">
        <v>41548</v>
      </c>
      <c r="B310" s="21" t="s">
        <v>30</v>
      </c>
      <c r="C310" s="28" t="s">
        <v>14</v>
      </c>
      <c r="D310" s="1">
        <v>33031.599999999999</v>
      </c>
      <c r="E310" s="1">
        <v>15461.599999999999</v>
      </c>
    </row>
    <row r="311" spans="1:5" x14ac:dyDescent="0.3">
      <c r="A311" s="25">
        <v>41852</v>
      </c>
      <c r="B311" s="21" t="s">
        <v>28</v>
      </c>
      <c r="C311" s="28" t="s">
        <v>15</v>
      </c>
      <c r="D311" s="1">
        <v>18818.8</v>
      </c>
      <c r="E311" s="1">
        <v>8808.7999999999993</v>
      </c>
    </row>
    <row r="312" spans="1:5" x14ac:dyDescent="0.3">
      <c r="A312" s="25">
        <v>41944</v>
      </c>
      <c r="B312" s="21" t="s">
        <v>31</v>
      </c>
      <c r="C312" s="28" t="s">
        <v>15</v>
      </c>
      <c r="D312" s="1">
        <v>8771.14</v>
      </c>
      <c r="E312" s="1">
        <v>2106.1399999999994</v>
      </c>
    </row>
    <row r="313" spans="1:5" x14ac:dyDescent="0.3">
      <c r="A313" s="25">
        <v>41913</v>
      </c>
      <c r="B313" s="21" t="s">
        <v>30</v>
      </c>
      <c r="C313" s="28" t="s">
        <v>15</v>
      </c>
      <c r="D313" s="1">
        <v>16257.3</v>
      </c>
      <c r="E313" s="1">
        <v>4727.2999999999993</v>
      </c>
    </row>
    <row r="314" spans="1:5" x14ac:dyDescent="0.3">
      <c r="A314" s="25">
        <v>41671</v>
      </c>
      <c r="B314" s="21" t="s">
        <v>22</v>
      </c>
      <c r="C314" s="28" t="s">
        <v>15</v>
      </c>
      <c r="D314" s="1">
        <v>8113.32</v>
      </c>
      <c r="E314" s="1">
        <v>5932.32</v>
      </c>
    </row>
    <row r="315" spans="1:5" x14ac:dyDescent="0.3">
      <c r="A315" s="25">
        <v>41852</v>
      </c>
      <c r="B315" s="21" t="s">
        <v>28</v>
      </c>
      <c r="C315" s="28" t="s">
        <v>15</v>
      </c>
      <c r="D315" s="1">
        <v>21025.439999999999</v>
      </c>
      <c r="E315" s="1">
        <v>15373.439999999999</v>
      </c>
    </row>
    <row r="316" spans="1:5" x14ac:dyDescent="0.3">
      <c r="A316" s="25">
        <v>41518</v>
      </c>
      <c r="B316" s="21" t="s">
        <v>29</v>
      </c>
      <c r="C316" s="28" t="s">
        <v>14</v>
      </c>
      <c r="D316" s="1">
        <v>34112.400000000001</v>
      </c>
      <c r="E316" s="1">
        <v>15772.400000000001</v>
      </c>
    </row>
    <row r="317" spans="1:5" x14ac:dyDescent="0.3">
      <c r="A317" s="25">
        <v>41640</v>
      </c>
      <c r="B317" s="21" t="s">
        <v>21</v>
      </c>
      <c r="C317" s="28" t="s">
        <v>15</v>
      </c>
      <c r="D317" s="1">
        <v>26114.400000000001</v>
      </c>
      <c r="E317" s="1">
        <v>19094.400000000001</v>
      </c>
    </row>
    <row r="318" spans="1:5" x14ac:dyDescent="0.3">
      <c r="A318" s="25">
        <v>41944</v>
      </c>
      <c r="B318" s="21" t="s">
        <v>31</v>
      </c>
      <c r="C318" s="28" t="s">
        <v>15</v>
      </c>
      <c r="D318" s="1">
        <v>26136.720000000001</v>
      </c>
      <c r="E318" s="1">
        <v>19110.72</v>
      </c>
    </row>
    <row r="319" spans="1:5" x14ac:dyDescent="0.3">
      <c r="A319" s="25">
        <v>41518</v>
      </c>
      <c r="B319" s="21" t="s">
        <v>29</v>
      </c>
      <c r="C319" s="28" t="s">
        <v>14</v>
      </c>
      <c r="D319" s="1">
        <v>6711.81</v>
      </c>
      <c r="E319" s="1">
        <v>1556.8100000000004</v>
      </c>
    </row>
    <row r="320" spans="1:5" x14ac:dyDescent="0.3">
      <c r="A320" s="25">
        <v>41760</v>
      </c>
      <c r="B320" s="21" t="s">
        <v>25</v>
      </c>
      <c r="C320" s="28" t="s">
        <v>15</v>
      </c>
      <c r="D320" s="1">
        <v>17604.900000000001</v>
      </c>
      <c r="E320" s="1">
        <v>4984.9000000000015</v>
      </c>
    </row>
    <row r="321" spans="1:5" x14ac:dyDescent="0.3">
      <c r="A321" s="25">
        <v>41791</v>
      </c>
      <c r="B321" s="21" t="s">
        <v>26</v>
      </c>
      <c r="C321" s="28" t="s">
        <v>15</v>
      </c>
      <c r="D321" s="1">
        <v>7388.85</v>
      </c>
      <c r="E321" s="1">
        <v>1713.8500000000004</v>
      </c>
    </row>
    <row r="322" spans="1:5" x14ac:dyDescent="0.3">
      <c r="A322" s="25">
        <v>41944</v>
      </c>
      <c r="B322" s="21" t="s">
        <v>31</v>
      </c>
      <c r="C322" s="28" t="s">
        <v>15</v>
      </c>
      <c r="D322" s="1">
        <v>3560.9700000000003</v>
      </c>
      <c r="E322" s="1">
        <v>825.97000000000025</v>
      </c>
    </row>
    <row r="323" spans="1:5" x14ac:dyDescent="0.3">
      <c r="A323" s="25">
        <v>41974</v>
      </c>
      <c r="B323" s="21" t="s">
        <v>32</v>
      </c>
      <c r="C323" s="28" t="s">
        <v>15</v>
      </c>
      <c r="D323" s="1">
        <v>10298.82</v>
      </c>
      <c r="E323" s="1">
        <v>2388.8199999999997</v>
      </c>
    </row>
    <row r="324" spans="1:5" x14ac:dyDescent="0.3">
      <c r="A324" s="25">
        <v>41730</v>
      </c>
      <c r="B324" s="21" t="s">
        <v>24</v>
      </c>
      <c r="C324" s="28" t="s">
        <v>15</v>
      </c>
      <c r="D324" s="1">
        <v>19401.66</v>
      </c>
      <c r="E324" s="1">
        <v>14186.16</v>
      </c>
    </row>
    <row r="325" spans="1:5" x14ac:dyDescent="0.3">
      <c r="A325" s="25">
        <v>41518</v>
      </c>
      <c r="B325" s="21" t="s">
        <v>29</v>
      </c>
      <c r="C325" s="28" t="s">
        <v>14</v>
      </c>
      <c r="D325" s="1">
        <v>24719.4</v>
      </c>
      <c r="E325" s="1">
        <v>18074.400000000001</v>
      </c>
    </row>
    <row r="326" spans="1:5" x14ac:dyDescent="0.3">
      <c r="A326" s="25">
        <v>41974</v>
      </c>
      <c r="B326" s="21" t="s">
        <v>32</v>
      </c>
      <c r="C326" s="28" t="s">
        <v>15</v>
      </c>
      <c r="D326" s="1">
        <v>10298.82</v>
      </c>
      <c r="E326" s="1">
        <v>2388.8199999999997</v>
      </c>
    </row>
    <row r="327" spans="1:5" x14ac:dyDescent="0.3">
      <c r="A327" s="25">
        <v>41791</v>
      </c>
      <c r="B327" s="21" t="s">
        <v>26</v>
      </c>
      <c r="C327" s="28" t="s">
        <v>15</v>
      </c>
      <c r="D327" s="1">
        <v>7388.85</v>
      </c>
      <c r="E327" s="1">
        <v>1713.8500000000004</v>
      </c>
    </row>
    <row r="328" spans="1:5" x14ac:dyDescent="0.3">
      <c r="A328" s="25">
        <v>41699</v>
      </c>
      <c r="B328" s="21" t="s">
        <v>23</v>
      </c>
      <c r="C328" s="28" t="s">
        <v>15</v>
      </c>
      <c r="D328" s="1">
        <v>573205.5</v>
      </c>
      <c r="E328" s="1">
        <v>115345.5</v>
      </c>
    </row>
    <row r="329" spans="1:5" x14ac:dyDescent="0.3">
      <c r="A329" s="25">
        <v>41791</v>
      </c>
      <c r="B329" s="21" t="s">
        <v>26</v>
      </c>
      <c r="C329" s="28" t="s">
        <v>15</v>
      </c>
      <c r="D329" s="1">
        <v>124992</v>
      </c>
      <c r="E329" s="1">
        <v>12992</v>
      </c>
    </row>
    <row r="330" spans="1:5" x14ac:dyDescent="0.3">
      <c r="A330" s="25">
        <v>41913</v>
      </c>
      <c r="B330" s="21" t="s">
        <v>30</v>
      </c>
      <c r="C330" s="28" t="s">
        <v>15</v>
      </c>
      <c r="D330" s="1">
        <v>608499</v>
      </c>
      <c r="E330" s="1">
        <v>63249</v>
      </c>
    </row>
    <row r="331" spans="1:5" x14ac:dyDescent="0.3">
      <c r="A331" s="25">
        <v>41913</v>
      </c>
      <c r="B331" s="21" t="s">
        <v>30</v>
      </c>
      <c r="C331" s="28" t="s">
        <v>15</v>
      </c>
      <c r="D331" s="1">
        <v>36753.599999999999</v>
      </c>
      <c r="E331" s="1">
        <v>16993.599999999999</v>
      </c>
    </row>
    <row r="332" spans="1:5" x14ac:dyDescent="0.3">
      <c r="A332" s="25">
        <v>41913</v>
      </c>
      <c r="B332" s="21" t="s">
        <v>30</v>
      </c>
      <c r="C332" s="28" t="s">
        <v>15</v>
      </c>
      <c r="D332" s="1">
        <v>608499</v>
      </c>
      <c r="E332" s="1">
        <v>63249</v>
      </c>
    </row>
    <row r="333" spans="1:5" x14ac:dyDescent="0.3">
      <c r="A333" s="25">
        <v>41579</v>
      </c>
      <c r="B333" s="21" t="s">
        <v>31</v>
      </c>
      <c r="C333" s="28" t="s">
        <v>14</v>
      </c>
      <c r="D333" s="1">
        <v>290625</v>
      </c>
      <c r="E333" s="1">
        <v>-9375</v>
      </c>
    </row>
    <row r="334" spans="1:5" x14ac:dyDescent="0.3">
      <c r="A334" s="25">
        <v>41760</v>
      </c>
      <c r="B334" s="21" t="s">
        <v>25</v>
      </c>
      <c r="C334" s="28" t="s">
        <v>15</v>
      </c>
      <c r="D334" s="1">
        <v>474858</v>
      </c>
      <c r="E334" s="1">
        <v>49358</v>
      </c>
    </row>
    <row r="335" spans="1:5" x14ac:dyDescent="0.3">
      <c r="A335" s="25">
        <v>41791</v>
      </c>
      <c r="B335" s="21" t="s">
        <v>26</v>
      </c>
      <c r="C335" s="28" t="s">
        <v>15</v>
      </c>
      <c r="D335" s="1">
        <v>124992</v>
      </c>
      <c r="E335" s="1">
        <v>12992</v>
      </c>
    </row>
    <row r="336" spans="1:5" x14ac:dyDescent="0.3">
      <c r="A336" s="25">
        <v>41821</v>
      </c>
      <c r="B336" s="21" t="s">
        <v>27</v>
      </c>
      <c r="C336" s="28" t="s">
        <v>15</v>
      </c>
      <c r="D336" s="1">
        <v>408386.25</v>
      </c>
      <c r="E336" s="1">
        <v>-13173.75</v>
      </c>
    </row>
    <row r="337" spans="1:5" x14ac:dyDescent="0.3">
      <c r="A337" s="25">
        <v>41852</v>
      </c>
      <c r="B337" s="21" t="s">
        <v>28</v>
      </c>
      <c r="C337" s="28" t="s">
        <v>15</v>
      </c>
      <c r="D337" s="1">
        <v>29308.95</v>
      </c>
      <c r="E337" s="1">
        <v>8298.9500000000007</v>
      </c>
    </row>
    <row r="338" spans="1:5" x14ac:dyDescent="0.3">
      <c r="A338" s="25">
        <v>41518</v>
      </c>
      <c r="B338" s="21" t="s">
        <v>29</v>
      </c>
      <c r="C338" s="28" t="s">
        <v>14</v>
      </c>
      <c r="D338" s="1">
        <v>40887.449999999997</v>
      </c>
      <c r="E338" s="1">
        <v>11577.449999999997</v>
      </c>
    </row>
    <row r="339" spans="1:5" x14ac:dyDescent="0.3">
      <c r="A339" s="25">
        <v>41883</v>
      </c>
      <c r="B339" s="21" t="s">
        <v>29</v>
      </c>
      <c r="C339" s="28" t="s">
        <v>15</v>
      </c>
      <c r="D339" s="1">
        <v>28551</v>
      </c>
      <c r="E339" s="1">
        <v>13201</v>
      </c>
    </row>
    <row r="340" spans="1:5" x14ac:dyDescent="0.3">
      <c r="A340" s="25">
        <v>41518</v>
      </c>
      <c r="B340" s="21" t="s">
        <v>29</v>
      </c>
      <c r="C340" s="28" t="s">
        <v>14</v>
      </c>
      <c r="D340" s="1">
        <v>313317</v>
      </c>
      <c r="E340" s="1">
        <v>32567</v>
      </c>
    </row>
    <row r="341" spans="1:5" x14ac:dyDescent="0.3">
      <c r="A341" s="25">
        <v>41579</v>
      </c>
      <c r="B341" s="21" t="s">
        <v>31</v>
      </c>
      <c r="C341" s="28" t="s">
        <v>14</v>
      </c>
      <c r="D341" s="1">
        <v>391716</v>
      </c>
      <c r="E341" s="1">
        <v>40716</v>
      </c>
    </row>
    <row r="342" spans="1:5" x14ac:dyDescent="0.3">
      <c r="A342" s="25">
        <v>41579</v>
      </c>
      <c r="B342" s="21" t="s">
        <v>31</v>
      </c>
      <c r="C342" s="28" t="s">
        <v>14</v>
      </c>
      <c r="D342" s="1">
        <v>30835.08</v>
      </c>
      <c r="E342" s="1">
        <v>22546.080000000002</v>
      </c>
    </row>
    <row r="343" spans="1:5" x14ac:dyDescent="0.3">
      <c r="A343" s="25">
        <v>41609</v>
      </c>
      <c r="B343" s="21" t="s">
        <v>32</v>
      </c>
      <c r="C343" s="28" t="s">
        <v>14</v>
      </c>
      <c r="D343" s="1">
        <v>13833.75</v>
      </c>
      <c r="E343" s="1">
        <v>3208.75</v>
      </c>
    </row>
    <row r="344" spans="1:5" x14ac:dyDescent="0.3">
      <c r="A344" s="25">
        <v>41821</v>
      </c>
      <c r="B344" s="21" t="s">
        <v>27</v>
      </c>
      <c r="C344" s="28" t="s">
        <v>15</v>
      </c>
      <c r="D344" s="1">
        <v>462861</v>
      </c>
      <c r="E344" s="1">
        <v>48111</v>
      </c>
    </row>
    <row r="345" spans="1:5" x14ac:dyDescent="0.3">
      <c r="A345" s="25">
        <v>41852</v>
      </c>
      <c r="B345" s="21" t="s">
        <v>28</v>
      </c>
      <c r="C345" s="28" t="s">
        <v>15</v>
      </c>
      <c r="D345" s="1">
        <v>11327.4</v>
      </c>
      <c r="E345" s="1">
        <v>5237.3999999999996</v>
      </c>
    </row>
    <row r="346" spans="1:5" x14ac:dyDescent="0.3">
      <c r="A346" s="25">
        <v>41883</v>
      </c>
      <c r="B346" s="21" t="s">
        <v>29</v>
      </c>
      <c r="C346" s="28" t="s">
        <v>15</v>
      </c>
      <c r="D346" s="1">
        <v>242613.75</v>
      </c>
      <c r="E346" s="1">
        <v>-7826.25</v>
      </c>
    </row>
    <row r="347" spans="1:5" x14ac:dyDescent="0.3">
      <c r="A347" s="25">
        <v>41913</v>
      </c>
      <c r="B347" s="21" t="s">
        <v>30</v>
      </c>
      <c r="C347" s="28" t="s">
        <v>15</v>
      </c>
      <c r="D347" s="1">
        <v>36753.599999999999</v>
      </c>
      <c r="E347" s="1">
        <v>16993.599999999999</v>
      </c>
    </row>
    <row r="348" spans="1:5" x14ac:dyDescent="0.3">
      <c r="A348" s="25">
        <v>41609</v>
      </c>
      <c r="B348" s="21" t="s">
        <v>32</v>
      </c>
      <c r="C348" s="28" t="s">
        <v>14</v>
      </c>
      <c r="D348" s="1">
        <v>26430.6</v>
      </c>
      <c r="E348" s="1">
        <v>12220.599999999999</v>
      </c>
    </row>
    <row r="349" spans="1:5" x14ac:dyDescent="0.3">
      <c r="A349" s="25">
        <v>41974</v>
      </c>
      <c r="B349" s="21" t="s">
        <v>32</v>
      </c>
      <c r="C349" s="28" t="s">
        <v>15</v>
      </c>
      <c r="D349" s="1">
        <v>382788</v>
      </c>
      <c r="E349" s="1">
        <v>39788</v>
      </c>
    </row>
    <row r="350" spans="1:5" x14ac:dyDescent="0.3">
      <c r="A350" s="25">
        <v>41609</v>
      </c>
      <c r="B350" s="21" t="s">
        <v>32</v>
      </c>
      <c r="C350" s="28" t="s">
        <v>14</v>
      </c>
      <c r="D350" s="1">
        <v>10936.8</v>
      </c>
      <c r="E350" s="1">
        <v>5056.7999999999993</v>
      </c>
    </row>
    <row r="351" spans="1:5" x14ac:dyDescent="0.3">
      <c r="A351" s="25">
        <v>41640</v>
      </c>
      <c r="B351" s="21" t="s">
        <v>21</v>
      </c>
      <c r="C351" s="28" t="s">
        <v>15</v>
      </c>
      <c r="D351" s="1">
        <v>36208.620000000003</v>
      </c>
      <c r="E351" s="1">
        <v>26475.120000000003</v>
      </c>
    </row>
    <row r="352" spans="1:5" x14ac:dyDescent="0.3">
      <c r="A352" s="25">
        <v>41671</v>
      </c>
      <c r="B352" s="21" t="s">
        <v>22</v>
      </c>
      <c r="C352" s="28" t="s">
        <v>15</v>
      </c>
      <c r="D352" s="1">
        <v>267561</v>
      </c>
      <c r="E352" s="1">
        <v>27811</v>
      </c>
    </row>
    <row r="353" spans="1:5" x14ac:dyDescent="0.3">
      <c r="A353" s="25">
        <v>41671</v>
      </c>
      <c r="B353" s="21" t="s">
        <v>22</v>
      </c>
      <c r="C353" s="28" t="s">
        <v>15</v>
      </c>
      <c r="D353" s="1">
        <v>766413</v>
      </c>
      <c r="E353" s="1">
        <v>79663</v>
      </c>
    </row>
    <row r="354" spans="1:5" x14ac:dyDescent="0.3">
      <c r="A354" s="25">
        <v>41760</v>
      </c>
      <c r="B354" s="21" t="s">
        <v>25</v>
      </c>
      <c r="C354" s="28" t="s">
        <v>15</v>
      </c>
      <c r="D354" s="1">
        <v>191231.25</v>
      </c>
      <c r="E354" s="1">
        <v>-6168.75</v>
      </c>
    </row>
    <row r="355" spans="1:5" x14ac:dyDescent="0.3">
      <c r="A355" s="25">
        <v>41883</v>
      </c>
      <c r="B355" s="21" t="s">
        <v>29</v>
      </c>
      <c r="C355" s="28" t="s">
        <v>15</v>
      </c>
      <c r="D355" s="1">
        <v>936138</v>
      </c>
      <c r="E355" s="1">
        <v>188378</v>
      </c>
    </row>
    <row r="356" spans="1:5" x14ac:dyDescent="0.3">
      <c r="A356" s="25">
        <v>41518</v>
      </c>
      <c r="B356" s="21" t="s">
        <v>29</v>
      </c>
      <c r="C356" s="28" t="s">
        <v>14</v>
      </c>
      <c r="D356" s="1">
        <v>115552.5</v>
      </c>
      <c r="E356" s="1">
        <v>-3727.5</v>
      </c>
    </row>
    <row r="357" spans="1:5" x14ac:dyDescent="0.3">
      <c r="A357" s="25">
        <v>41944</v>
      </c>
      <c r="B357" s="21" t="s">
        <v>31</v>
      </c>
      <c r="C357" s="28" t="s">
        <v>15</v>
      </c>
      <c r="D357" s="1">
        <v>20794.8</v>
      </c>
      <c r="E357" s="1">
        <v>9614.7999999999993</v>
      </c>
    </row>
    <row r="358" spans="1:5" x14ac:dyDescent="0.3">
      <c r="A358" s="25">
        <v>41974</v>
      </c>
      <c r="B358" s="21" t="s">
        <v>32</v>
      </c>
      <c r="C358" s="28" t="s">
        <v>15</v>
      </c>
      <c r="D358" s="1">
        <v>382788</v>
      </c>
      <c r="E358" s="1">
        <v>39788</v>
      </c>
    </row>
    <row r="359" spans="1:5" x14ac:dyDescent="0.3">
      <c r="A359" s="25">
        <v>41671</v>
      </c>
      <c r="B359" s="21" t="s">
        <v>22</v>
      </c>
      <c r="C359" s="28" t="s">
        <v>15</v>
      </c>
      <c r="D359" s="1">
        <v>3142.7200000000003</v>
      </c>
      <c r="E359" s="1">
        <v>702.72000000000025</v>
      </c>
    </row>
    <row r="360" spans="1:5" x14ac:dyDescent="0.3">
      <c r="A360" s="25">
        <v>41791</v>
      </c>
      <c r="B360" s="21" t="s">
        <v>26</v>
      </c>
      <c r="C360" s="28" t="s">
        <v>15</v>
      </c>
      <c r="D360" s="1">
        <v>23588.799999999999</v>
      </c>
      <c r="E360" s="1">
        <v>10768.8</v>
      </c>
    </row>
    <row r="361" spans="1:5" x14ac:dyDescent="0.3">
      <c r="A361" s="25">
        <v>41760</v>
      </c>
      <c r="B361" s="21" t="s">
        <v>25</v>
      </c>
      <c r="C361" s="28" t="s">
        <v>15</v>
      </c>
      <c r="D361" s="1">
        <v>1655.08</v>
      </c>
      <c r="E361" s="1">
        <v>370.07999999999993</v>
      </c>
    </row>
    <row r="362" spans="1:5" x14ac:dyDescent="0.3">
      <c r="A362" s="25">
        <v>41791</v>
      </c>
      <c r="B362" s="21" t="s">
        <v>26</v>
      </c>
      <c r="C362" s="28" t="s">
        <v>15</v>
      </c>
      <c r="D362" s="1">
        <v>23588.799999999999</v>
      </c>
      <c r="E362" s="1">
        <v>10768.8</v>
      </c>
    </row>
    <row r="363" spans="1:5" x14ac:dyDescent="0.3">
      <c r="A363" s="25">
        <v>41852</v>
      </c>
      <c r="B363" s="21" t="s">
        <v>28</v>
      </c>
      <c r="C363" s="28" t="s">
        <v>15</v>
      </c>
      <c r="D363" s="1">
        <v>177100</v>
      </c>
      <c r="E363" s="1">
        <v>-7700</v>
      </c>
    </row>
    <row r="364" spans="1:5" x14ac:dyDescent="0.3">
      <c r="A364" s="25">
        <v>41944</v>
      </c>
      <c r="B364" s="21" t="s">
        <v>31</v>
      </c>
      <c r="C364" s="28" t="s">
        <v>15</v>
      </c>
      <c r="D364" s="1">
        <v>6762</v>
      </c>
      <c r="E364" s="1">
        <v>1862</v>
      </c>
    </row>
    <row r="365" spans="1:5" x14ac:dyDescent="0.3">
      <c r="A365" s="25">
        <v>41974</v>
      </c>
      <c r="B365" s="21" t="s">
        <v>32</v>
      </c>
      <c r="C365" s="28" t="s">
        <v>15</v>
      </c>
      <c r="D365" s="1">
        <v>438564</v>
      </c>
      <c r="E365" s="1">
        <v>84444</v>
      </c>
    </row>
    <row r="366" spans="1:5" x14ac:dyDescent="0.3">
      <c r="A366" s="25">
        <v>41699</v>
      </c>
      <c r="B366" s="21" t="s">
        <v>23</v>
      </c>
      <c r="C366" s="28" t="s">
        <v>15</v>
      </c>
      <c r="D366" s="1">
        <v>34513.800000000003</v>
      </c>
      <c r="E366" s="1">
        <v>9503.8000000000029</v>
      </c>
    </row>
    <row r="367" spans="1:5" x14ac:dyDescent="0.3">
      <c r="A367" s="25">
        <v>41791</v>
      </c>
      <c r="B367" s="21" t="s">
        <v>26</v>
      </c>
      <c r="C367" s="28" t="s">
        <v>15</v>
      </c>
      <c r="D367" s="1">
        <v>13027.2</v>
      </c>
      <c r="E367" s="1">
        <v>5947.2000000000007</v>
      </c>
    </row>
    <row r="368" spans="1:5" x14ac:dyDescent="0.3">
      <c r="A368" s="25">
        <v>41821</v>
      </c>
      <c r="B368" s="21" t="s">
        <v>27</v>
      </c>
      <c r="C368" s="28" t="s">
        <v>15</v>
      </c>
      <c r="D368" s="1">
        <v>11868</v>
      </c>
      <c r="E368" s="1">
        <v>5418</v>
      </c>
    </row>
    <row r="369" spans="1:5" x14ac:dyDescent="0.3">
      <c r="A369" s="25">
        <v>41852</v>
      </c>
      <c r="B369" s="21" t="s">
        <v>28</v>
      </c>
      <c r="C369" s="28" t="s">
        <v>15</v>
      </c>
      <c r="D369" s="1">
        <v>431112</v>
      </c>
      <c r="E369" s="1">
        <v>40612</v>
      </c>
    </row>
    <row r="370" spans="1:5" x14ac:dyDescent="0.3">
      <c r="A370" s="25">
        <v>41518</v>
      </c>
      <c r="B370" s="21" t="s">
        <v>29</v>
      </c>
      <c r="C370" s="28" t="s">
        <v>14</v>
      </c>
      <c r="D370" s="1">
        <v>354108</v>
      </c>
      <c r="E370" s="1">
        <v>33358</v>
      </c>
    </row>
    <row r="371" spans="1:5" x14ac:dyDescent="0.3">
      <c r="A371" s="25">
        <v>41974</v>
      </c>
      <c r="B371" s="21" t="s">
        <v>32</v>
      </c>
      <c r="C371" s="28" t="s">
        <v>15</v>
      </c>
      <c r="D371" s="1">
        <v>9811.7999999999993</v>
      </c>
      <c r="E371" s="1">
        <v>2701.7999999999993</v>
      </c>
    </row>
    <row r="372" spans="1:5" x14ac:dyDescent="0.3">
      <c r="A372" s="25">
        <v>41699</v>
      </c>
      <c r="B372" s="21" t="s">
        <v>23</v>
      </c>
      <c r="C372" s="28" t="s">
        <v>15</v>
      </c>
      <c r="D372" s="1">
        <v>128110</v>
      </c>
      <c r="E372" s="1">
        <v>-5570</v>
      </c>
    </row>
    <row r="373" spans="1:5" x14ac:dyDescent="0.3">
      <c r="A373" s="25">
        <v>41730</v>
      </c>
      <c r="B373" s="21" t="s">
        <v>24</v>
      </c>
      <c r="C373" s="28" t="s">
        <v>15</v>
      </c>
      <c r="D373" s="1">
        <v>8107.96</v>
      </c>
      <c r="E373" s="1">
        <v>1812.96</v>
      </c>
    </row>
    <row r="374" spans="1:5" x14ac:dyDescent="0.3">
      <c r="A374" s="25">
        <v>41760</v>
      </c>
      <c r="B374" s="21" t="s">
        <v>25</v>
      </c>
      <c r="C374" s="28" t="s">
        <v>15</v>
      </c>
      <c r="D374" s="1">
        <v>7051.8</v>
      </c>
      <c r="E374" s="1">
        <v>1576.8000000000002</v>
      </c>
    </row>
    <row r="375" spans="1:5" x14ac:dyDescent="0.3">
      <c r="A375" s="25">
        <v>41791</v>
      </c>
      <c r="B375" s="21" t="s">
        <v>26</v>
      </c>
      <c r="C375" s="28" t="s">
        <v>15</v>
      </c>
      <c r="D375" s="1">
        <v>25134.400000000001</v>
      </c>
      <c r="E375" s="1">
        <v>11474.400000000001</v>
      </c>
    </row>
    <row r="376" spans="1:5" x14ac:dyDescent="0.3">
      <c r="A376" s="25">
        <v>41791</v>
      </c>
      <c r="B376" s="21" t="s">
        <v>26</v>
      </c>
      <c r="C376" s="28" t="s">
        <v>15</v>
      </c>
      <c r="D376" s="1">
        <v>678960</v>
      </c>
      <c r="E376" s="1">
        <v>63960</v>
      </c>
    </row>
    <row r="377" spans="1:5" x14ac:dyDescent="0.3">
      <c r="A377" s="25">
        <v>41852</v>
      </c>
      <c r="B377" s="21" t="s">
        <v>28</v>
      </c>
      <c r="C377" s="28" t="s">
        <v>15</v>
      </c>
      <c r="D377" s="1">
        <v>4366.32</v>
      </c>
      <c r="E377" s="1">
        <v>976.31999999999971</v>
      </c>
    </row>
    <row r="378" spans="1:5" x14ac:dyDescent="0.3">
      <c r="A378" s="25">
        <v>41852</v>
      </c>
      <c r="B378" s="21" t="s">
        <v>28</v>
      </c>
      <c r="C378" s="28" t="s">
        <v>15</v>
      </c>
      <c r="D378" s="1">
        <v>10291.120000000001</v>
      </c>
      <c r="E378" s="1">
        <v>2301.1200000000008</v>
      </c>
    </row>
    <row r="379" spans="1:5" x14ac:dyDescent="0.3">
      <c r="A379" s="25">
        <v>41518</v>
      </c>
      <c r="B379" s="21" t="s">
        <v>29</v>
      </c>
      <c r="C379" s="28" t="s">
        <v>14</v>
      </c>
      <c r="D379" s="1">
        <v>15513.96</v>
      </c>
      <c r="E379" s="1">
        <v>3468.9599999999991</v>
      </c>
    </row>
    <row r="380" spans="1:5" x14ac:dyDescent="0.3">
      <c r="A380" s="25">
        <v>41883</v>
      </c>
      <c r="B380" s="21" t="s">
        <v>29</v>
      </c>
      <c r="C380" s="28" t="s">
        <v>15</v>
      </c>
      <c r="D380" s="1">
        <v>35585.599999999999</v>
      </c>
      <c r="E380" s="1">
        <v>16245.599999999999</v>
      </c>
    </row>
    <row r="381" spans="1:5" x14ac:dyDescent="0.3">
      <c r="A381" s="25">
        <v>41883</v>
      </c>
      <c r="B381" s="21" t="s">
        <v>29</v>
      </c>
      <c r="C381" s="28" t="s">
        <v>15</v>
      </c>
      <c r="D381" s="1">
        <v>55071.199999999997</v>
      </c>
      <c r="E381" s="1">
        <v>25141.199999999997</v>
      </c>
    </row>
    <row r="382" spans="1:5" x14ac:dyDescent="0.3">
      <c r="A382" s="25">
        <v>41579</v>
      </c>
      <c r="B382" s="21" t="s">
        <v>31</v>
      </c>
      <c r="C382" s="28" t="s">
        <v>14</v>
      </c>
      <c r="D382" s="1">
        <v>691012</v>
      </c>
      <c r="E382" s="1">
        <v>133052</v>
      </c>
    </row>
    <row r="383" spans="1:5" x14ac:dyDescent="0.3">
      <c r="A383" s="25">
        <v>41609</v>
      </c>
      <c r="B383" s="21" t="s">
        <v>32</v>
      </c>
      <c r="C383" s="28" t="s">
        <v>14</v>
      </c>
      <c r="D383" s="1">
        <v>12532.24</v>
      </c>
      <c r="E383" s="1">
        <v>2802.24</v>
      </c>
    </row>
    <row r="384" spans="1:5" x14ac:dyDescent="0.3">
      <c r="A384" s="25">
        <v>41974</v>
      </c>
      <c r="B384" s="21" t="s">
        <v>32</v>
      </c>
      <c r="C384" s="28" t="s">
        <v>15</v>
      </c>
      <c r="D384" s="1">
        <v>438564</v>
      </c>
      <c r="E384" s="1">
        <v>84444</v>
      </c>
    </row>
    <row r="385" spans="1:5" x14ac:dyDescent="0.3">
      <c r="A385" s="25">
        <v>41699</v>
      </c>
      <c r="B385" s="21" t="s">
        <v>23</v>
      </c>
      <c r="C385" s="28" t="s">
        <v>15</v>
      </c>
      <c r="D385" s="1">
        <v>6601.92</v>
      </c>
      <c r="E385" s="1">
        <v>4807.92</v>
      </c>
    </row>
    <row r="386" spans="1:5" x14ac:dyDescent="0.3">
      <c r="A386" s="25">
        <v>41791</v>
      </c>
      <c r="B386" s="21" t="s">
        <v>26</v>
      </c>
      <c r="C386" s="28" t="s">
        <v>15</v>
      </c>
      <c r="D386" s="1">
        <v>18721.080000000002</v>
      </c>
      <c r="E386" s="1">
        <v>4186.0800000000017</v>
      </c>
    </row>
    <row r="387" spans="1:5" x14ac:dyDescent="0.3">
      <c r="A387" s="25">
        <v>41791</v>
      </c>
      <c r="B387" s="21" t="s">
        <v>26</v>
      </c>
      <c r="C387" s="28" t="s">
        <v>15</v>
      </c>
      <c r="D387" s="1">
        <v>15056.72</v>
      </c>
      <c r="E387" s="1">
        <v>3366.7199999999993</v>
      </c>
    </row>
    <row r="388" spans="1:5" x14ac:dyDescent="0.3">
      <c r="A388" s="25">
        <v>41579</v>
      </c>
      <c r="B388" s="21" t="s">
        <v>31</v>
      </c>
      <c r="C388" s="28" t="s">
        <v>14</v>
      </c>
      <c r="D388" s="1">
        <v>106536</v>
      </c>
      <c r="E388" s="1">
        <v>10036</v>
      </c>
    </row>
    <row r="389" spans="1:5" x14ac:dyDescent="0.3">
      <c r="A389" s="25">
        <v>41974</v>
      </c>
      <c r="B389" s="21" t="s">
        <v>32</v>
      </c>
      <c r="C389" s="28" t="s">
        <v>15</v>
      </c>
      <c r="D389" s="1">
        <v>175260</v>
      </c>
      <c r="E389" s="1">
        <v>16510</v>
      </c>
    </row>
    <row r="390" spans="1:5" x14ac:dyDescent="0.3">
      <c r="A390" s="25">
        <v>41730</v>
      </c>
      <c r="B390" s="21" t="s">
        <v>24</v>
      </c>
      <c r="C390" s="28" t="s">
        <v>15</v>
      </c>
      <c r="D390" s="1">
        <v>184989</v>
      </c>
      <c r="E390" s="1">
        <v>35619</v>
      </c>
    </row>
    <row r="391" spans="1:5" x14ac:dyDescent="0.3">
      <c r="A391" s="25">
        <v>41791</v>
      </c>
      <c r="B391" s="21" t="s">
        <v>26</v>
      </c>
      <c r="C391" s="28" t="s">
        <v>15</v>
      </c>
      <c r="D391" s="1">
        <v>15056.72</v>
      </c>
      <c r="E391" s="1">
        <v>3366.7199999999993</v>
      </c>
    </row>
    <row r="392" spans="1:5" x14ac:dyDescent="0.3">
      <c r="A392" s="25">
        <v>41852</v>
      </c>
      <c r="B392" s="21" t="s">
        <v>28</v>
      </c>
      <c r="C392" s="28" t="s">
        <v>15</v>
      </c>
      <c r="D392" s="1">
        <v>122682</v>
      </c>
      <c r="E392" s="1">
        <v>23622</v>
      </c>
    </row>
    <row r="393" spans="1:5" x14ac:dyDescent="0.3">
      <c r="A393" s="25">
        <v>41852</v>
      </c>
      <c r="B393" s="21" t="s">
        <v>28</v>
      </c>
      <c r="C393" s="28" t="s">
        <v>15</v>
      </c>
      <c r="D393" s="1">
        <v>135884</v>
      </c>
      <c r="E393" s="1">
        <v>26164</v>
      </c>
    </row>
    <row r="394" spans="1:5" x14ac:dyDescent="0.3">
      <c r="A394" s="25">
        <v>41883</v>
      </c>
      <c r="B394" s="21" t="s">
        <v>29</v>
      </c>
      <c r="C394" s="28" t="s">
        <v>15</v>
      </c>
      <c r="D394" s="1">
        <v>588984</v>
      </c>
      <c r="E394" s="1">
        <v>55484</v>
      </c>
    </row>
    <row r="395" spans="1:5" x14ac:dyDescent="0.3">
      <c r="A395" s="25">
        <v>41609</v>
      </c>
      <c r="B395" s="21" t="s">
        <v>32</v>
      </c>
      <c r="C395" s="28" t="s">
        <v>14</v>
      </c>
      <c r="D395" s="1">
        <v>223008</v>
      </c>
      <c r="E395" s="1">
        <v>21008</v>
      </c>
    </row>
    <row r="396" spans="1:5" x14ac:dyDescent="0.3">
      <c r="A396" s="25">
        <v>41791</v>
      </c>
      <c r="B396" s="21" t="s">
        <v>26</v>
      </c>
      <c r="C396" s="28" t="s">
        <v>15</v>
      </c>
      <c r="D396" s="1">
        <v>13027.2</v>
      </c>
      <c r="E396" s="1">
        <v>5947.2000000000007</v>
      </c>
    </row>
    <row r="397" spans="1:5" x14ac:dyDescent="0.3">
      <c r="A397" s="25">
        <v>41791</v>
      </c>
      <c r="B397" s="21" t="s">
        <v>26</v>
      </c>
      <c r="C397" s="28" t="s">
        <v>15</v>
      </c>
      <c r="D397" s="1">
        <v>18721.080000000002</v>
      </c>
      <c r="E397" s="1">
        <v>4186.0800000000017</v>
      </c>
    </row>
    <row r="398" spans="1:5" x14ac:dyDescent="0.3">
      <c r="A398" s="25">
        <v>41791</v>
      </c>
      <c r="B398" s="21" t="s">
        <v>26</v>
      </c>
      <c r="C398" s="28" t="s">
        <v>15</v>
      </c>
      <c r="D398" s="1">
        <v>25134.400000000001</v>
      </c>
      <c r="E398" s="1">
        <v>11474.400000000001</v>
      </c>
    </row>
    <row r="399" spans="1:5" x14ac:dyDescent="0.3">
      <c r="A399" s="25">
        <v>41791</v>
      </c>
      <c r="B399" s="21" t="s">
        <v>26</v>
      </c>
      <c r="C399" s="28" t="s">
        <v>15</v>
      </c>
      <c r="D399" s="1">
        <v>678960</v>
      </c>
      <c r="E399" s="1">
        <v>63960</v>
      </c>
    </row>
    <row r="400" spans="1:5" x14ac:dyDescent="0.3">
      <c r="A400" s="25">
        <v>41944</v>
      </c>
      <c r="B400" s="21" t="s">
        <v>31</v>
      </c>
      <c r="C400" s="28" t="s">
        <v>15</v>
      </c>
      <c r="D400" s="1">
        <v>27968</v>
      </c>
      <c r="E400" s="1">
        <v>12768</v>
      </c>
    </row>
    <row r="401" spans="1:5" x14ac:dyDescent="0.3">
      <c r="A401" s="25">
        <v>41974</v>
      </c>
      <c r="B401" s="21" t="s">
        <v>32</v>
      </c>
      <c r="C401" s="28" t="s">
        <v>15</v>
      </c>
      <c r="D401" s="1">
        <v>9811.7999999999993</v>
      </c>
      <c r="E401" s="1">
        <v>2701.7999999999993</v>
      </c>
    </row>
    <row r="402" spans="1:5" x14ac:dyDescent="0.3">
      <c r="A402" s="25">
        <v>41609</v>
      </c>
      <c r="B402" s="21" t="s">
        <v>32</v>
      </c>
      <c r="C402" s="28" t="s">
        <v>14</v>
      </c>
      <c r="D402" s="1">
        <v>15180</v>
      </c>
      <c r="E402" s="1">
        <v>11055</v>
      </c>
    </row>
    <row r="403" spans="1:5" x14ac:dyDescent="0.3">
      <c r="A403" s="25">
        <v>41974</v>
      </c>
      <c r="B403" s="21" t="s">
        <v>32</v>
      </c>
      <c r="C403" s="28" t="s">
        <v>15</v>
      </c>
      <c r="D403" s="1">
        <v>175260</v>
      </c>
      <c r="E403" s="1">
        <v>16510</v>
      </c>
    </row>
    <row r="404" spans="1:5" x14ac:dyDescent="0.3">
      <c r="A404" s="25">
        <v>41821</v>
      </c>
      <c r="B404" s="21" t="s">
        <v>27</v>
      </c>
      <c r="C404" s="28" t="s">
        <v>15</v>
      </c>
      <c r="D404" s="1">
        <v>8031.5999999999995</v>
      </c>
      <c r="E404" s="1">
        <v>3666.5999999999995</v>
      </c>
    </row>
    <row r="405" spans="1:5" x14ac:dyDescent="0.3">
      <c r="A405" s="25">
        <v>41791</v>
      </c>
      <c r="B405" s="21" t="s">
        <v>26</v>
      </c>
      <c r="C405" s="28" t="s">
        <v>15</v>
      </c>
      <c r="D405" s="1">
        <v>298662</v>
      </c>
      <c r="E405" s="1">
        <v>25162</v>
      </c>
    </row>
    <row r="406" spans="1:5" x14ac:dyDescent="0.3">
      <c r="A406" s="25">
        <v>41548</v>
      </c>
      <c r="B406" s="21" t="s">
        <v>30</v>
      </c>
      <c r="C406" s="28" t="s">
        <v>14</v>
      </c>
      <c r="D406" s="1">
        <v>4007.64</v>
      </c>
      <c r="E406" s="1">
        <v>2906.64</v>
      </c>
    </row>
    <row r="407" spans="1:5" x14ac:dyDescent="0.3">
      <c r="A407" s="25">
        <v>41730</v>
      </c>
      <c r="B407" s="21" t="s">
        <v>24</v>
      </c>
      <c r="C407" s="28" t="s">
        <v>15</v>
      </c>
      <c r="D407" s="1">
        <v>1038082.5</v>
      </c>
      <c r="E407" s="1">
        <v>87457.5</v>
      </c>
    </row>
    <row r="408" spans="1:5" x14ac:dyDescent="0.3">
      <c r="A408" s="25">
        <v>41760</v>
      </c>
      <c r="B408" s="21" t="s">
        <v>25</v>
      </c>
      <c r="C408" s="28" t="s">
        <v>15</v>
      </c>
      <c r="D408" s="1">
        <v>530621</v>
      </c>
      <c r="E408" s="1">
        <v>97461</v>
      </c>
    </row>
    <row r="409" spans="1:5" x14ac:dyDescent="0.3">
      <c r="A409" s="25">
        <v>41518</v>
      </c>
      <c r="B409" s="21" t="s">
        <v>29</v>
      </c>
      <c r="C409" s="28" t="s">
        <v>14</v>
      </c>
      <c r="D409" s="1">
        <v>87906</v>
      </c>
      <c r="E409" s="1">
        <v>7406</v>
      </c>
    </row>
    <row r="410" spans="1:5" x14ac:dyDescent="0.3">
      <c r="A410" s="25">
        <v>41944</v>
      </c>
      <c r="B410" s="21" t="s">
        <v>31</v>
      </c>
      <c r="C410" s="28" t="s">
        <v>15</v>
      </c>
      <c r="D410" s="1">
        <v>25345.32</v>
      </c>
      <c r="E410" s="1">
        <v>18382.32</v>
      </c>
    </row>
    <row r="411" spans="1:5" x14ac:dyDescent="0.3">
      <c r="A411" s="25">
        <v>41579</v>
      </c>
      <c r="B411" s="21" t="s">
        <v>31</v>
      </c>
      <c r="C411" s="28" t="s">
        <v>14</v>
      </c>
      <c r="D411" s="1">
        <v>211233.75</v>
      </c>
      <c r="E411" s="1">
        <v>-11606.25</v>
      </c>
    </row>
    <row r="412" spans="1:5" x14ac:dyDescent="0.3">
      <c r="A412" s="25">
        <v>41609</v>
      </c>
      <c r="B412" s="21" t="s">
        <v>32</v>
      </c>
      <c r="C412" s="28" t="s">
        <v>14</v>
      </c>
      <c r="D412" s="1">
        <v>10262.07</v>
      </c>
      <c r="E412" s="1">
        <v>2207.0699999999997</v>
      </c>
    </row>
    <row r="413" spans="1:5" x14ac:dyDescent="0.3">
      <c r="A413" s="25">
        <v>41974</v>
      </c>
      <c r="B413" s="21" t="s">
        <v>32</v>
      </c>
      <c r="C413" s="28" t="s">
        <v>15</v>
      </c>
      <c r="D413" s="1">
        <v>318158.75</v>
      </c>
      <c r="E413" s="1">
        <v>-17481.25</v>
      </c>
    </row>
    <row r="414" spans="1:5" x14ac:dyDescent="0.3">
      <c r="A414" s="25">
        <v>41609</v>
      </c>
      <c r="B414" s="21" t="s">
        <v>32</v>
      </c>
      <c r="C414" s="28" t="s">
        <v>14</v>
      </c>
      <c r="D414" s="1">
        <v>91182</v>
      </c>
      <c r="E414" s="1">
        <v>7682</v>
      </c>
    </row>
    <row r="415" spans="1:5" x14ac:dyDescent="0.3">
      <c r="A415" s="25">
        <v>41640</v>
      </c>
      <c r="B415" s="21" t="s">
        <v>21</v>
      </c>
      <c r="C415" s="28" t="s">
        <v>15</v>
      </c>
      <c r="D415" s="1">
        <v>700245</v>
      </c>
      <c r="E415" s="1">
        <v>58995</v>
      </c>
    </row>
    <row r="416" spans="1:5" x14ac:dyDescent="0.3">
      <c r="A416" s="25">
        <v>41640</v>
      </c>
      <c r="B416" s="21" t="s">
        <v>21</v>
      </c>
      <c r="C416" s="28" t="s">
        <v>15</v>
      </c>
      <c r="D416" s="1">
        <v>769814.5</v>
      </c>
      <c r="E416" s="1">
        <v>141394.5</v>
      </c>
    </row>
    <row r="417" spans="1:5" x14ac:dyDescent="0.3">
      <c r="A417" s="25">
        <v>41730</v>
      </c>
      <c r="B417" s="21" t="s">
        <v>24</v>
      </c>
      <c r="C417" s="28" t="s">
        <v>15</v>
      </c>
      <c r="D417" s="1">
        <v>50163.75</v>
      </c>
      <c r="E417" s="1">
        <v>13413.75</v>
      </c>
    </row>
    <row r="418" spans="1:5" x14ac:dyDescent="0.3">
      <c r="A418" s="25">
        <v>41791</v>
      </c>
      <c r="B418" s="21" t="s">
        <v>26</v>
      </c>
      <c r="C418" s="28" t="s">
        <v>15</v>
      </c>
      <c r="D418" s="1">
        <v>298662</v>
      </c>
      <c r="E418" s="1">
        <v>25162</v>
      </c>
    </row>
    <row r="419" spans="1:5" x14ac:dyDescent="0.3">
      <c r="A419" s="25">
        <v>41913</v>
      </c>
      <c r="B419" s="21" t="s">
        <v>30</v>
      </c>
      <c r="C419" s="28" t="s">
        <v>15</v>
      </c>
      <c r="D419" s="1">
        <v>16748.55</v>
      </c>
      <c r="E419" s="1">
        <v>4478.5499999999993</v>
      </c>
    </row>
    <row r="420" spans="1:5" x14ac:dyDescent="0.3">
      <c r="A420" s="25">
        <v>41548</v>
      </c>
      <c r="B420" s="21" t="s">
        <v>30</v>
      </c>
      <c r="C420" s="28" t="s">
        <v>14</v>
      </c>
      <c r="D420" s="1">
        <v>4007.64</v>
      </c>
      <c r="E420" s="1">
        <v>2906.64</v>
      </c>
    </row>
    <row r="421" spans="1:5" x14ac:dyDescent="0.3">
      <c r="A421" s="25">
        <v>41944</v>
      </c>
      <c r="B421" s="21" t="s">
        <v>31</v>
      </c>
      <c r="C421" s="28" t="s">
        <v>15</v>
      </c>
      <c r="D421" s="1">
        <v>361452</v>
      </c>
      <c r="E421" s="1">
        <v>30452</v>
      </c>
    </row>
    <row r="422" spans="1:5" x14ac:dyDescent="0.3">
      <c r="A422" s="25">
        <v>41579</v>
      </c>
      <c r="B422" s="21" t="s">
        <v>31</v>
      </c>
      <c r="C422" s="28" t="s">
        <v>14</v>
      </c>
      <c r="D422" s="1">
        <v>19383</v>
      </c>
      <c r="E422" s="1">
        <v>14058</v>
      </c>
    </row>
    <row r="423" spans="1:5" x14ac:dyDescent="0.3">
      <c r="A423" s="25">
        <v>41974</v>
      </c>
      <c r="B423" s="21" t="s">
        <v>32</v>
      </c>
      <c r="C423" s="28" t="s">
        <v>15</v>
      </c>
      <c r="D423" s="1">
        <v>318158.75</v>
      </c>
      <c r="E423" s="1">
        <v>-17481.25</v>
      </c>
    </row>
    <row r="424" spans="1:5" x14ac:dyDescent="0.3">
      <c r="A424" s="25">
        <v>41760</v>
      </c>
      <c r="B424" s="21" t="s">
        <v>25</v>
      </c>
      <c r="C424" s="28" t="s">
        <v>15</v>
      </c>
      <c r="D424" s="1">
        <v>3344.25</v>
      </c>
      <c r="E424" s="1">
        <v>894.25</v>
      </c>
    </row>
    <row r="425" spans="1:5" x14ac:dyDescent="0.3">
      <c r="A425" s="25">
        <v>41821</v>
      </c>
      <c r="B425" s="21" t="s">
        <v>27</v>
      </c>
      <c r="C425" s="28" t="s">
        <v>15</v>
      </c>
      <c r="D425" s="1">
        <v>1035625.5</v>
      </c>
      <c r="E425" s="1">
        <v>87250.5</v>
      </c>
    </row>
    <row r="426" spans="1:5" x14ac:dyDescent="0.3">
      <c r="A426" s="25">
        <v>41821</v>
      </c>
      <c r="B426" s="21" t="s">
        <v>27</v>
      </c>
      <c r="C426" s="28" t="s">
        <v>15</v>
      </c>
      <c r="D426" s="1">
        <v>416279.5</v>
      </c>
      <c r="E426" s="1">
        <v>76459.5</v>
      </c>
    </row>
    <row r="427" spans="1:5" x14ac:dyDescent="0.3">
      <c r="A427" s="25">
        <v>41883</v>
      </c>
      <c r="B427" s="21" t="s">
        <v>29</v>
      </c>
      <c r="C427" s="28" t="s">
        <v>15</v>
      </c>
      <c r="D427" s="1">
        <v>64496.25</v>
      </c>
      <c r="E427" s="1">
        <v>-3543.75</v>
      </c>
    </row>
    <row r="428" spans="1:5" x14ac:dyDescent="0.3">
      <c r="A428" s="25">
        <v>41883</v>
      </c>
      <c r="B428" s="21" t="s">
        <v>29</v>
      </c>
      <c r="C428" s="28" t="s">
        <v>15</v>
      </c>
      <c r="D428" s="1">
        <v>240012.5</v>
      </c>
      <c r="E428" s="1">
        <v>-13187.5</v>
      </c>
    </row>
    <row r="429" spans="1:5" x14ac:dyDescent="0.3">
      <c r="A429" s="25">
        <v>41913</v>
      </c>
      <c r="B429" s="21" t="s">
        <v>30</v>
      </c>
      <c r="C429" s="28" t="s">
        <v>15</v>
      </c>
      <c r="D429" s="1">
        <v>404176.5</v>
      </c>
      <c r="E429" s="1">
        <v>74236.5</v>
      </c>
    </row>
    <row r="430" spans="1:5" x14ac:dyDescent="0.3">
      <c r="A430" s="25">
        <v>41640</v>
      </c>
      <c r="B430" s="21" t="s">
        <v>21</v>
      </c>
      <c r="C430" s="28" t="s">
        <v>15</v>
      </c>
      <c r="D430" s="1">
        <v>21359.52</v>
      </c>
      <c r="E430" s="1">
        <v>15491.52</v>
      </c>
    </row>
    <row r="431" spans="1:5" x14ac:dyDescent="0.3">
      <c r="A431" s="25">
        <v>41671</v>
      </c>
      <c r="B431" s="21" t="s">
        <v>22</v>
      </c>
      <c r="C431" s="28" t="s">
        <v>15</v>
      </c>
      <c r="D431" s="1">
        <v>725907</v>
      </c>
      <c r="E431" s="1">
        <v>61157</v>
      </c>
    </row>
    <row r="432" spans="1:5" x14ac:dyDescent="0.3">
      <c r="A432" s="25">
        <v>41730</v>
      </c>
      <c r="B432" s="21" t="s">
        <v>24</v>
      </c>
      <c r="C432" s="28" t="s">
        <v>15</v>
      </c>
      <c r="D432" s="1">
        <v>430452.75</v>
      </c>
      <c r="E432" s="1">
        <v>79062.75</v>
      </c>
    </row>
    <row r="433" spans="1:5" x14ac:dyDescent="0.3">
      <c r="A433" s="25">
        <v>41760</v>
      </c>
      <c r="B433" s="21" t="s">
        <v>25</v>
      </c>
      <c r="C433" s="28" t="s">
        <v>15</v>
      </c>
      <c r="D433" s="1">
        <v>9609.6</v>
      </c>
      <c r="E433" s="1">
        <v>6969.6</v>
      </c>
    </row>
    <row r="434" spans="1:5" x14ac:dyDescent="0.3">
      <c r="A434" s="25">
        <v>41883</v>
      </c>
      <c r="B434" s="21" t="s">
        <v>29</v>
      </c>
      <c r="C434" s="28" t="s">
        <v>15</v>
      </c>
      <c r="D434" s="1">
        <v>509691</v>
      </c>
      <c r="E434" s="1">
        <v>42941</v>
      </c>
    </row>
    <row r="435" spans="1:5" x14ac:dyDescent="0.3">
      <c r="A435" s="25">
        <v>41518</v>
      </c>
      <c r="B435" s="21" t="s">
        <v>29</v>
      </c>
      <c r="C435" s="28" t="s">
        <v>14</v>
      </c>
      <c r="D435" s="1">
        <v>24395.279999999999</v>
      </c>
      <c r="E435" s="1">
        <v>17693.28</v>
      </c>
    </row>
    <row r="436" spans="1:5" x14ac:dyDescent="0.3">
      <c r="A436" s="25">
        <v>41913</v>
      </c>
      <c r="B436" s="21" t="s">
        <v>30</v>
      </c>
      <c r="C436" s="28" t="s">
        <v>15</v>
      </c>
      <c r="D436" s="1">
        <v>16748.55</v>
      </c>
      <c r="E436" s="1">
        <v>4478.5499999999993</v>
      </c>
    </row>
    <row r="437" spans="1:5" x14ac:dyDescent="0.3">
      <c r="A437" s="25">
        <v>41944</v>
      </c>
      <c r="B437" s="21" t="s">
        <v>31</v>
      </c>
      <c r="C437" s="28" t="s">
        <v>15</v>
      </c>
      <c r="D437" s="1">
        <v>99758.75</v>
      </c>
      <c r="E437" s="1">
        <v>-5481.25</v>
      </c>
    </row>
    <row r="438" spans="1:5" x14ac:dyDescent="0.3">
      <c r="A438" s="25">
        <v>41883</v>
      </c>
      <c r="B438" s="21" t="s">
        <v>29</v>
      </c>
      <c r="C438" s="28" t="s">
        <v>15</v>
      </c>
      <c r="D438" s="1">
        <v>659613.5</v>
      </c>
      <c r="E438" s="1">
        <v>121153.5</v>
      </c>
    </row>
    <row r="439" spans="1:5" x14ac:dyDescent="0.3">
      <c r="A439" s="25">
        <v>41913</v>
      </c>
      <c r="B439" s="21" t="s">
        <v>30</v>
      </c>
      <c r="C439" s="28" t="s">
        <v>15</v>
      </c>
      <c r="D439" s="1">
        <v>404176.5</v>
      </c>
      <c r="E439" s="1">
        <v>74236.5</v>
      </c>
    </row>
    <row r="440" spans="1:5" x14ac:dyDescent="0.3">
      <c r="A440" s="25">
        <v>41579</v>
      </c>
      <c r="B440" s="21" t="s">
        <v>31</v>
      </c>
      <c r="C440" s="28" t="s">
        <v>14</v>
      </c>
      <c r="D440" s="1">
        <v>13240.5</v>
      </c>
      <c r="E440" s="1">
        <v>3540.5</v>
      </c>
    </row>
    <row r="441" spans="1:5" x14ac:dyDescent="0.3">
      <c r="A441" s="25">
        <v>41944</v>
      </c>
      <c r="B441" s="21" t="s">
        <v>31</v>
      </c>
      <c r="C441" s="28" t="s">
        <v>15</v>
      </c>
      <c r="D441" s="1">
        <v>30830.799999999999</v>
      </c>
      <c r="E441" s="1">
        <v>13890.8</v>
      </c>
    </row>
    <row r="442" spans="1:5" x14ac:dyDescent="0.3">
      <c r="A442" s="25">
        <v>41760</v>
      </c>
      <c r="B442" s="21" t="s">
        <v>25</v>
      </c>
      <c r="C442" s="28" t="s">
        <v>15</v>
      </c>
      <c r="D442" s="1">
        <v>12066.6</v>
      </c>
      <c r="E442" s="1">
        <v>5436.6</v>
      </c>
    </row>
    <row r="443" spans="1:5" x14ac:dyDescent="0.3">
      <c r="A443" s="25">
        <v>41821</v>
      </c>
      <c r="B443" s="21" t="s">
        <v>27</v>
      </c>
      <c r="C443" s="28" t="s">
        <v>15</v>
      </c>
      <c r="D443" s="1">
        <v>5217.03</v>
      </c>
      <c r="E443" s="1">
        <v>1122.03</v>
      </c>
    </row>
    <row r="444" spans="1:5" x14ac:dyDescent="0.3">
      <c r="A444" s="25">
        <v>41883</v>
      </c>
      <c r="B444" s="21" t="s">
        <v>29</v>
      </c>
      <c r="C444" s="28" t="s">
        <v>15</v>
      </c>
      <c r="D444" s="1">
        <v>17253.599999999999</v>
      </c>
      <c r="E444" s="1">
        <v>12513.599999999999</v>
      </c>
    </row>
    <row r="445" spans="1:5" x14ac:dyDescent="0.3">
      <c r="A445" s="25">
        <v>41974</v>
      </c>
      <c r="B445" s="21" t="s">
        <v>32</v>
      </c>
      <c r="C445" s="28" t="s">
        <v>15</v>
      </c>
      <c r="D445" s="1">
        <v>3318.77</v>
      </c>
      <c r="E445" s="1">
        <v>713.77</v>
      </c>
    </row>
    <row r="446" spans="1:5" x14ac:dyDescent="0.3">
      <c r="A446" s="25">
        <v>41699</v>
      </c>
      <c r="B446" s="21" t="s">
        <v>23</v>
      </c>
      <c r="C446" s="28" t="s">
        <v>15</v>
      </c>
      <c r="D446" s="1">
        <v>17708.599999999999</v>
      </c>
      <c r="E446" s="1">
        <v>7978.5999999999985</v>
      </c>
    </row>
    <row r="447" spans="1:5" x14ac:dyDescent="0.3">
      <c r="A447" s="25">
        <v>41791</v>
      </c>
      <c r="B447" s="21" t="s">
        <v>26</v>
      </c>
      <c r="C447" s="28" t="s">
        <v>15</v>
      </c>
      <c r="D447" s="1">
        <v>18891.599999999999</v>
      </c>
      <c r="E447" s="1">
        <v>8511.5999999999985</v>
      </c>
    </row>
    <row r="448" spans="1:5" x14ac:dyDescent="0.3">
      <c r="A448" s="25">
        <v>41913</v>
      </c>
      <c r="B448" s="21" t="s">
        <v>30</v>
      </c>
      <c r="C448" s="28" t="s">
        <v>15</v>
      </c>
      <c r="D448" s="1">
        <v>2293.1999999999998</v>
      </c>
      <c r="E448" s="1">
        <v>493.19999999999982</v>
      </c>
    </row>
    <row r="449" spans="1:5" x14ac:dyDescent="0.3">
      <c r="A449" s="25">
        <v>41699</v>
      </c>
      <c r="B449" s="21" t="s">
        <v>23</v>
      </c>
      <c r="C449" s="28" t="s">
        <v>15</v>
      </c>
      <c r="D449" s="1">
        <v>21479.64</v>
      </c>
      <c r="E449" s="1">
        <v>15578.64</v>
      </c>
    </row>
    <row r="450" spans="1:5" x14ac:dyDescent="0.3">
      <c r="A450" s="25">
        <v>41730</v>
      </c>
      <c r="B450" s="21" t="s">
        <v>24</v>
      </c>
      <c r="C450" s="28" t="s">
        <v>15</v>
      </c>
      <c r="D450" s="1">
        <v>35872.199999999997</v>
      </c>
      <c r="E450" s="1">
        <v>9592.1999999999971</v>
      </c>
    </row>
    <row r="451" spans="1:5" x14ac:dyDescent="0.3">
      <c r="A451" s="25">
        <v>41913</v>
      </c>
      <c r="B451" s="21" t="s">
        <v>30</v>
      </c>
      <c r="C451" s="28" t="s">
        <v>15</v>
      </c>
      <c r="D451" s="1">
        <v>2293.1999999999998</v>
      </c>
      <c r="E451" s="1">
        <v>493.19999999999982</v>
      </c>
    </row>
    <row r="452" spans="1:5" x14ac:dyDescent="0.3">
      <c r="A452" s="25">
        <v>41579</v>
      </c>
      <c r="B452" s="21" t="s">
        <v>31</v>
      </c>
      <c r="C452" s="28" t="s">
        <v>14</v>
      </c>
      <c r="D452" s="1">
        <v>48812.4</v>
      </c>
      <c r="E452" s="1">
        <v>21992.400000000001</v>
      </c>
    </row>
    <row r="453" spans="1:5" x14ac:dyDescent="0.3">
      <c r="A453" s="25">
        <v>41974</v>
      </c>
      <c r="B453" s="21" t="s">
        <v>32</v>
      </c>
      <c r="C453" s="28" t="s">
        <v>15</v>
      </c>
      <c r="D453" s="1">
        <v>3318.77</v>
      </c>
      <c r="E453" s="1">
        <v>713.77</v>
      </c>
    </row>
    <row r="454" spans="1:5" x14ac:dyDescent="0.3">
      <c r="A454" s="25">
        <v>41791</v>
      </c>
      <c r="B454" s="21" t="s">
        <v>26</v>
      </c>
      <c r="C454" s="28" t="s">
        <v>15</v>
      </c>
      <c r="D454" s="1">
        <v>18891.599999999999</v>
      </c>
      <c r="E454" s="1">
        <v>8511.5999999999985</v>
      </c>
    </row>
    <row r="455" spans="1:5" x14ac:dyDescent="0.3">
      <c r="A455" s="25">
        <v>41821</v>
      </c>
      <c r="B455" s="21" t="s">
        <v>27</v>
      </c>
      <c r="C455" s="28" t="s">
        <v>15</v>
      </c>
      <c r="D455" s="1">
        <v>22256.324999999997</v>
      </c>
      <c r="E455" s="1">
        <v>5951.3249999999989</v>
      </c>
    </row>
    <row r="456" spans="1:5" x14ac:dyDescent="0.3">
      <c r="A456" s="25">
        <v>41609</v>
      </c>
      <c r="B456" s="21" t="s">
        <v>32</v>
      </c>
      <c r="C456" s="28" t="s">
        <v>14</v>
      </c>
      <c r="D456" s="1">
        <v>3341.52</v>
      </c>
      <c r="E456" s="1">
        <v>2423.52</v>
      </c>
    </row>
    <row r="457" spans="1:5" x14ac:dyDescent="0.3">
      <c r="A457" s="25">
        <v>41548</v>
      </c>
      <c r="B457" s="21" t="s">
        <v>30</v>
      </c>
      <c r="C457" s="28" t="s">
        <v>14</v>
      </c>
      <c r="D457" s="1">
        <v>4168.8</v>
      </c>
      <c r="E457" s="1">
        <v>3010.8</v>
      </c>
    </row>
    <row r="458" spans="1:5" x14ac:dyDescent="0.3">
      <c r="A458" s="25">
        <v>41883</v>
      </c>
      <c r="B458" s="21" t="s">
        <v>29</v>
      </c>
      <c r="C458" s="28" t="s">
        <v>15</v>
      </c>
      <c r="D458" s="1">
        <v>14666.4</v>
      </c>
      <c r="E458" s="1">
        <v>3026.3999999999996</v>
      </c>
    </row>
    <row r="459" spans="1:5" x14ac:dyDescent="0.3">
      <c r="A459" s="25">
        <v>41548</v>
      </c>
      <c r="B459" s="21" t="s">
        <v>30</v>
      </c>
      <c r="C459" s="28" t="s">
        <v>14</v>
      </c>
      <c r="D459" s="1">
        <v>4168.8</v>
      </c>
      <c r="E459" s="1">
        <v>3010.8</v>
      </c>
    </row>
    <row r="460" spans="1:5" x14ac:dyDescent="0.3">
      <c r="A460" s="25">
        <v>41730</v>
      </c>
      <c r="B460" s="21" t="s">
        <v>24</v>
      </c>
      <c r="C460" s="28" t="s">
        <v>15</v>
      </c>
      <c r="D460" s="1">
        <v>387618.75</v>
      </c>
      <c r="E460" s="1">
        <v>-25841.25</v>
      </c>
    </row>
    <row r="461" spans="1:5" x14ac:dyDescent="0.3">
      <c r="A461" s="25">
        <v>41609</v>
      </c>
      <c r="B461" s="21" t="s">
        <v>32</v>
      </c>
      <c r="C461" s="28" t="s">
        <v>14</v>
      </c>
      <c r="D461" s="1">
        <v>166725</v>
      </c>
      <c r="E461" s="1">
        <v>-11115</v>
      </c>
    </row>
    <row r="462" spans="1:5" x14ac:dyDescent="0.3">
      <c r="A462" s="25">
        <v>41760</v>
      </c>
      <c r="B462" s="21" t="s">
        <v>25</v>
      </c>
      <c r="C462" s="28" t="s">
        <v>15</v>
      </c>
      <c r="D462" s="1">
        <v>728595</v>
      </c>
      <c r="E462" s="1">
        <v>127215</v>
      </c>
    </row>
    <row r="463" spans="1:5" x14ac:dyDescent="0.3">
      <c r="A463" s="25">
        <v>41579</v>
      </c>
      <c r="B463" s="21" t="s">
        <v>31</v>
      </c>
      <c r="C463" s="28" t="s">
        <v>14</v>
      </c>
      <c r="D463" s="1">
        <v>202950</v>
      </c>
      <c r="E463" s="1">
        <v>-13530</v>
      </c>
    </row>
    <row r="464" spans="1:5" x14ac:dyDescent="0.3">
      <c r="A464" s="25">
        <v>41974</v>
      </c>
      <c r="B464" s="21" t="s">
        <v>32</v>
      </c>
      <c r="C464" s="28" t="s">
        <v>15</v>
      </c>
      <c r="D464" s="1">
        <v>27972</v>
      </c>
      <c r="E464" s="1">
        <v>7252</v>
      </c>
    </row>
    <row r="465" spans="1:5" x14ac:dyDescent="0.3">
      <c r="A465" s="25">
        <v>41699</v>
      </c>
      <c r="B465" s="21" t="s">
        <v>23</v>
      </c>
      <c r="C465" s="28" t="s">
        <v>15</v>
      </c>
      <c r="D465" s="1">
        <v>35172</v>
      </c>
      <c r="E465" s="1">
        <v>15632</v>
      </c>
    </row>
    <row r="466" spans="1:5" x14ac:dyDescent="0.3">
      <c r="A466" s="25">
        <v>41760</v>
      </c>
      <c r="B466" s="21" t="s">
        <v>25</v>
      </c>
      <c r="C466" s="28" t="s">
        <v>15</v>
      </c>
      <c r="D466" s="1">
        <v>159570</v>
      </c>
      <c r="E466" s="1">
        <v>11820</v>
      </c>
    </row>
    <row r="467" spans="1:5" x14ac:dyDescent="0.3">
      <c r="A467" s="25">
        <v>41548</v>
      </c>
      <c r="B467" s="21" t="s">
        <v>30</v>
      </c>
      <c r="C467" s="28" t="s">
        <v>14</v>
      </c>
      <c r="D467" s="1">
        <v>29254.5</v>
      </c>
      <c r="E467" s="1">
        <v>7584.5</v>
      </c>
    </row>
    <row r="468" spans="1:5" x14ac:dyDescent="0.3">
      <c r="A468" s="25">
        <v>41913</v>
      </c>
      <c r="B468" s="21" t="s">
        <v>30</v>
      </c>
      <c r="C468" s="28" t="s">
        <v>15</v>
      </c>
      <c r="D468" s="1">
        <v>4338</v>
      </c>
      <c r="E468" s="1">
        <v>1928</v>
      </c>
    </row>
    <row r="469" spans="1:5" x14ac:dyDescent="0.3">
      <c r="A469" s="25">
        <v>41640</v>
      </c>
      <c r="B469" s="21" t="s">
        <v>21</v>
      </c>
      <c r="C469" s="28" t="s">
        <v>15</v>
      </c>
      <c r="D469" s="1">
        <v>9193.5</v>
      </c>
      <c r="E469" s="1">
        <v>2383.5</v>
      </c>
    </row>
    <row r="470" spans="1:5" x14ac:dyDescent="0.3">
      <c r="A470" s="25">
        <v>41730</v>
      </c>
      <c r="B470" s="21" t="s">
        <v>24</v>
      </c>
      <c r="C470" s="28" t="s">
        <v>15</v>
      </c>
      <c r="D470" s="1">
        <v>6885</v>
      </c>
      <c r="E470" s="1">
        <v>1785</v>
      </c>
    </row>
    <row r="471" spans="1:5" x14ac:dyDescent="0.3">
      <c r="A471" s="25">
        <v>41760</v>
      </c>
      <c r="B471" s="21" t="s">
        <v>25</v>
      </c>
      <c r="C471" s="28" t="s">
        <v>15</v>
      </c>
      <c r="D471" s="1">
        <v>10665</v>
      </c>
      <c r="E471" s="1">
        <v>2765</v>
      </c>
    </row>
    <row r="472" spans="1:5" x14ac:dyDescent="0.3">
      <c r="A472" s="25">
        <v>41821</v>
      </c>
      <c r="B472" s="21" t="s">
        <v>27</v>
      </c>
      <c r="C472" s="28" t="s">
        <v>15</v>
      </c>
      <c r="D472" s="1">
        <v>201285</v>
      </c>
      <c r="E472" s="1">
        <v>35145</v>
      </c>
    </row>
    <row r="473" spans="1:5" x14ac:dyDescent="0.3">
      <c r="A473" s="25">
        <v>41883</v>
      </c>
      <c r="B473" s="21" t="s">
        <v>29</v>
      </c>
      <c r="C473" s="28" t="s">
        <v>15</v>
      </c>
      <c r="D473" s="1">
        <v>179550</v>
      </c>
      <c r="E473" s="1">
        <v>-11970</v>
      </c>
    </row>
    <row r="474" spans="1:5" x14ac:dyDescent="0.3">
      <c r="A474" s="25">
        <v>41548</v>
      </c>
      <c r="B474" s="21" t="s">
        <v>30</v>
      </c>
      <c r="C474" s="28" t="s">
        <v>14</v>
      </c>
      <c r="D474" s="1">
        <v>619380</v>
      </c>
      <c r="E474" s="1">
        <v>45880</v>
      </c>
    </row>
    <row r="475" spans="1:5" x14ac:dyDescent="0.3">
      <c r="A475" s="25">
        <v>41913</v>
      </c>
      <c r="B475" s="21" t="s">
        <v>30</v>
      </c>
      <c r="C475" s="28" t="s">
        <v>15</v>
      </c>
      <c r="D475" s="1">
        <v>4338</v>
      </c>
      <c r="E475" s="1">
        <v>1928</v>
      </c>
    </row>
    <row r="476" spans="1:5" x14ac:dyDescent="0.3">
      <c r="A476" s="25">
        <v>41944</v>
      </c>
      <c r="B476" s="21" t="s">
        <v>31</v>
      </c>
      <c r="C476" s="28" t="s">
        <v>15</v>
      </c>
      <c r="D476" s="1">
        <v>16789.5</v>
      </c>
      <c r="E476" s="1">
        <v>3464.5</v>
      </c>
    </row>
    <row r="477" spans="1:5" x14ac:dyDescent="0.3">
      <c r="A477" s="25">
        <v>41609</v>
      </c>
      <c r="B477" s="21" t="s">
        <v>32</v>
      </c>
      <c r="C477" s="28" t="s">
        <v>14</v>
      </c>
      <c r="D477" s="1">
        <v>215550</v>
      </c>
      <c r="E477" s="1">
        <v>-14370</v>
      </c>
    </row>
    <row r="478" spans="1:5" x14ac:dyDescent="0.3">
      <c r="A478" s="25">
        <v>41974</v>
      </c>
      <c r="B478" s="21" t="s">
        <v>32</v>
      </c>
      <c r="C478" s="28" t="s">
        <v>15</v>
      </c>
      <c r="D478" s="1">
        <v>230310</v>
      </c>
      <c r="E478" s="1">
        <v>17060</v>
      </c>
    </row>
    <row r="479" spans="1:5" x14ac:dyDescent="0.3">
      <c r="A479" s="25">
        <v>41760</v>
      </c>
      <c r="B479" s="21" t="s">
        <v>25</v>
      </c>
      <c r="C479" s="28" t="s">
        <v>15</v>
      </c>
      <c r="D479" s="1">
        <v>38362.5</v>
      </c>
      <c r="E479" s="1">
        <v>-2557.5</v>
      </c>
    </row>
    <row r="480" spans="1:5" x14ac:dyDescent="0.3">
      <c r="A480" s="25">
        <v>41821</v>
      </c>
      <c r="B480" s="21" t="s">
        <v>27</v>
      </c>
      <c r="C480" s="28" t="s">
        <v>15</v>
      </c>
      <c r="D480" s="1">
        <v>8653.5</v>
      </c>
      <c r="E480" s="1">
        <v>2243.5</v>
      </c>
    </row>
    <row r="481" spans="1:5" x14ac:dyDescent="0.3">
      <c r="A481" s="25">
        <v>41852</v>
      </c>
      <c r="B481" s="21" t="s">
        <v>28</v>
      </c>
      <c r="C481" s="28" t="s">
        <v>15</v>
      </c>
      <c r="D481" s="1">
        <v>884205</v>
      </c>
      <c r="E481" s="1">
        <v>154385</v>
      </c>
    </row>
    <row r="482" spans="1:5" x14ac:dyDescent="0.3">
      <c r="A482" s="25">
        <v>41883</v>
      </c>
      <c r="B482" s="21" t="s">
        <v>29</v>
      </c>
      <c r="C482" s="28" t="s">
        <v>15</v>
      </c>
      <c r="D482" s="1">
        <v>116640</v>
      </c>
      <c r="E482" s="1">
        <v>8640</v>
      </c>
    </row>
    <row r="483" spans="1:5" x14ac:dyDescent="0.3">
      <c r="A483" s="25">
        <v>41548</v>
      </c>
      <c r="B483" s="21" t="s">
        <v>30</v>
      </c>
      <c r="C483" s="28" t="s">
        <v>14</v>
      </c>
      <c r="D483" s="1">
        <v>619380</v>
      </c>
      <c r="E483" s="1">
        <v>45880</v>
      </c>
    </row>
    <row r="484" spans="1:5" x14ac:dyDescent="0.3">
      <c r="A484" s="25">
        <v>41548</v>
      </c>
      <c r="B484" s="21" t="s">
        <v>30</v>
      </c>
      <c r="C484" s="28" t="s">
        <v>14</v>
      </c>
      <c r="D484" s="1">
        <v>29254.5</v>
      </c>
      <c r="E484" s="1">
        <v>7584.5</v>
      </c>
    </row>
    <row r="485" spans="1:5" x14ac:dyDescent="0.3">
      <c r="A485" s="25">
        <v>41944</v>
      </c>
      <c r="B485" s="21" t="s">
        <v>31</v>
      </c>
      <c r="C485" s="28" t="s">
        <v>15</v>
      </c>
      <c r="D485" s="1">
        <v>284512.5</v>
      </c>
      <c r="E485" s="1">
        <v>-18967.5</v>
      </c>
    </row>
    <row r="486" spans="1:5" x14ac:dyDescent="0.3">
      <c r="A486" s="25">
        <v>41609</v>
      </c>
      <c r="B486" s="21" t="s">
        <v>32</v>
      </c>
      <c r="C486" s="28" t="s">
        <v>14</v>
      </c>
      <c r="D486" s="1">
        <v>589050</v>
      </c>
      <c r="E486" s="1">
        <v>102850</v>
      </c>
    </row>
    <row r="487" spans="1:5" x14ac:dyDescent="0.3">
      <c r="A487" s="25">
        <v>41640</v>
      </c>
      <c r="B487" s="21" t="s">
        <v>21</v>
      </c>
      <c r="C487" s="28" t="s">
        <v>15</v>
      </c>
      <c r="D487" s="1">
        <v>65137.5</v>
      </c>
      <c r="E487" s="1">
        <v>-4342.5</v>
      </c>
    </row>
    <row r="488" spans="1:5" x14ac:dyDescent="0.3">
      <c r="A488" s="25">
        <v>41671</v>
      </c>
      <c r="B488" s="21" t="s">
        <v>22</v>
      </c>
      <c r="C488" s="28" t="s">
        <v>15</v>
      </c>
      <c r="D488" s="1">
        <v>705600</v>
      </c>
      <c r="E488" s="1">
        <v>123200</v>
      </c>
    </row>
    <row r="489" spans="1:5" x14ac:dyDescent="0.3">
      <c r="A489" s="25">
        <v>41699</v>
      </c>
      <c r="B489" s="21" t="s">
        <v>23</v>
      </c>
      <c r="C489" s="28" t="s">
        <v>15</v>
      </c>
      <c r="D489" s="1">
        <v>808110</v>
      </c>
      <c r="E489" s="1">
        <v>59860</v>
      </c>
    </row>
    <row r="490" spans="1:5" x14ac:dyDescent="0.3">
      <c r="A490" s="25">
        <v>41730</v>
      </c>
      <c r="B490" s="21" t="s">
        <v>24</v>
      </c>
      <c r="C490" s="28" t="s">
        <v>15</v>
      </c>
      <c r="D490" s="1">
        <v>38021.399999999994</v>
      </c>
      <c r="E490" s="1">
        <v>27459.899999999998</v>
      </c>
    </row>
    <row r="491" spans="1:5" x14ac:dyDescent="0.3">
      <c r="A491" s="25">
        <v>41760</v>
      </c>
      <c r="B491" s="21" t="s">
        <v>25</v>
      </c>
      <c r="C491" s="28" t="s">
        <v>15</v>
      </c>
      <c r="D491" s="1">
        <v>36702</v>
      </c>
      <c r="E491" s="1">
        <v>16312</v>
      </c>
    </row>
    <row r="492" spans="1:5" x14ac:dyDescent="0.3">
      <c r="A492" s="25">
        <v>41852</v>
      </c>
      <c r="B492" s="21" t="s">
        <v>28</v>
      </c>
      <c r="C492" s="28" t="s">
        <v>15</v>
      </c>
      <c r="D492" s="1">
        <v>27799.200000000001</v>
      </c>
      <c r="E492" s="1">
        <v>20077.2</v>
      </c>
    </row>
    <row r="493" spans="1:5" x14ac:dyDescent="0.3">
      <c r="A493" s="25">
        <v>41883</v>
      </c>
      <c r="B493" s="21" t="s">
        <v>29</v>
      </c>
      <c r="C493" s="28" t="s">
        <v>15</v>
      </c>
      <c r="D493" s="1">
        <v>222705</v>
      </c>
      <c r="E493" s="1">
        <v>38885</v>
      </c>
    </row>
    <row r="494" spans="1:5" x14ac:dyDescent="0.3">
      <c r="A494" s="25">
        <v>41974</v>
      </c>
      <c r="B494" s="21" t="s">
        <v>32</v>
      </c>
      <c r="C494" s="28" t="s">
        <v>15</v>
      </c>
      <c r="D494" s="1">
        <v>27972</v>
      </c>
      <c r="E494" s="1">
        <v>7252</v>
      </c>
    </row>
    <row r="495" spans="1:5" x14ac:dyDescent="0.3">
      <c r="A495" s="25">
        <v>41974</v>
      </c>
      <c r="B495" s="21" t="s">
        <v>32</v>
      </c>
      <c r="C495" s="28" t="s">
        <v>15</v>
      </c>
      <c r="D495" s="1">
        <v>230310</v>
      </c>
      <c r="E495" s="1">
        <v>17060</v>
      </c>
    </row>
    <row r="496" spans="1:5" x14ac:dyDescent="0.3">
      <c r="A496" s="25">
        <v>41548</v>
      </c>
      <c r="B496" s="21" t="s">
        <v>30</v>
      </c>
      <c r="C496" s="28" t="s">
        <v>14</v>
      </c>
      <c r="D496" s="1">
        <v>12794.64</v>
      </c>
      <c r="E496" s="1">
        <v>9200.64</v>
      </c>
    </row>
    <row r="497" spans="1:5" x14ac:dyDescent="0.3">
      <c r="A497" s="25">
        <v>41730</v>
      </c>
      <c r="B497" s="21" t="s">
        <v>24</v>
      </c>
      <c r="C497" s="28" t="s">
        <v>15</v>
      </c>
      <c r="D497" s="1">
        <v>15774.36</v>
      </c>
      <c r="E497" s="1">
        <v>3114.3599999999997</v>
      </c>
    </row>
    <row r="498" spans="1:5" x14ac:dyDescent="0.3">
      <c r="A498" s="25">
        <v>41548</v>
      </c>
      <c r="B498" s="21" t="s">
        <v>30</v>
      </c>
      <c r="C498" s="28" t="s">
        <v>14</v>
      </c>
      <c r="D498" s="1">
        <v>12794.64</v>
      </c>
      <c r="E498" s="1">
        <v>9200.64</v>
      </c>
    </row>
    <row r="499" spans="1:5" x14ac:dyDescent="0.3">
      <c r="A499" s="25">
        <v>41640</v>
      </c>
      <c r="B499" s="21" t="s">
        <v>21</v>
      </c>
      <c r="C499" s="28" t="s">
        <v>15</v>
      </c>
      <c r="D499" s="1">
        <v>5126.3999999999996</v>
      </c>
      <c r="E499" s="1">
        <v>1286.3999999999999</v>
      </c>
    </row>
    <row r="500" spans="1:5" x14ac:dyDescent="0.3">
      <c r="A500" s="25">
        <v>41913</v>
      </c>
      <c r="B500" s="21" t="s">
        <v>30</v>
      </c>
      <c r="C500" s="28" t="s">
        <v>15</v>
      </c>
      <c r="D500" s="1">
        <v>5040.96</v>
      </c>
      <c r="E500" s="1">
        <v>3624.96</v>
      </c>
    </row>
    <row r="501" spans="1:5" x14ac:dyDescent="0.3">
      <c r="A501" s="25">
        <v>41699</v>
      </c>
      <c r="B501" s="21" t="s">
        <v>23</v>
      </c>
      <c r="C501" s="28" t="s">
        <v>15</v>
      </c>
      <c r="D501" s="1">
        <v>9837.17</v>
      </c>
      <c r="E501" s="1">
        <v>1942.17</v>
      </c>
    </row>
    <row r="502" spans="1:5" x14ac:dyDescent="0.3">
      <c r="A502" s="25">
        <v>41518</v>
      </c>
      <c r="B502" s="21" t="s">
        <v>29</v>
      </c>
      <c r="C502" s="28" t="s">
        <v>14</v>
      </c>
      <c r="D502" s="1">
        <v>10733.4</v>
      </c>
      <c r="E502" s="1">
        <v>7718.4</v>
      </c>
    </row>
    <row r="503" spans="1:5" x14ac:dyDescent="0.3">
      <c r="A503" s="25">
        <v>41821</v>
      </c>
      <c r="B503" s="21" t="s">
        <v>27</v>
      </c>
      <c r="C503" s="28" t="s">
        <v>15</v>
      </c>
      <c r="D503" s="1">
        <v>42713.324999999997</v>
      </c>
      <c r="E503" s="1">
        <v>10718.324999999999</v>
      </c>
    </row>
    <row r="504" spans="1:5" x14ac:dyDescent="0.3">
      <c r="A504" s="25">
        <v>41913</v>
      </c>
      <c r="B504" s="21" t="s">
        <v>30</v>
      </c>
      <c r="C504" s="28" t="s">
        <v>15</v>
      </c>
      <c r="D504" s="1">
        <v>5040.96</v>
      </c>
      <c r="E504" s="1">
        <v>3624.96</v>
      </c>
    </row>
    <row r="505" spans="1:5" x14ac:dyDescent="0.3">
      <c r="A505" s="25">
        <v>41671</v>
      </c>
      <c r="B505" s="21" t="s">
        <v>22</v>
      </c>
      <c r="C505" s="28" t="s">
        <v>15</v>
      </c>
      <c r="D505" s="1">
        <v>20687.16</v>
      </c>
      <c r="E505" s="1">
        <v>14876.16</v>
      </c>
    </row>
    <row r="506" spans="1:5" x14ac:dyDescent="0.3">
      <c r="A506" s="25">
        <v>41699</v>
      </c>
      <c r="B506" s="21" t="s">
        <v>23</v>
      </c>
      <c r="C506" s="28" t="s">
        <v>15</v>
      </c>
      <c r="D506" s="1">
        <v>246708</v>
      </c>
      <c r="E506" s="1">
        <v>40788</v>
      </c>
    </row>
    <row r="507" spans="1:5" x14ac:dyDescent="0.3">
      <c r="A507" s="25">
        <v>41821</v>
      </c>
      <c r="B507" s="21" t="s">
        <v>27</v>
      </c>
      <c r="C507" s="28" t="s">
        <v>15</v>
      </c>
      <c r="D507" s="1">
        <v>750537</v>
      </c>
      <c r="E507" s="1">
        <v>47787</v>
      </c>
    </row>
    <row r="508" spans="1:5" x14ac:dyDescent="0.3">
      <c r="A508" s="25">
        <v>41913</v>
      </c>
      <c r="B508" s="21" t="s">
        <v>30</v>
      </c>
      <c r="C508" s="28" t="s">
        <v>15</v>
      </c>
      <c r="D508" s="1">
        <v>271561.25</v>
      </c>
      <c r="E508" s="1">
        <v>-21358.75</v>
      </c>
    </row>
    <row r="509" spans="1:5" x14ac:dyDescent="0.3">
      <c r="A509" s="25">
        <v>41579</v>
      </c>
      <c r="B509" s="21" t="s">
        <v>31</v>
      </c>
      <c r="C509" s="28" t="s">
        <v>14</v>
      </c>
      <c r="D509" s="1">
        <v>20826</v>
      </c>
      <c r="E509" s="1">
        <v>5226</v>
      </c>
    </row>
    <row r="510" spans="1:5" x14ac:dyDescent="0.3">
      <c r="A510" s="25">
        <v>41579</v>
      </c>
      <c r="B510" s="21" t="s">
        <v>31</v>
      </c>
      <c r="C510" s="28" t="s">
        <v>14</v>
      </c>
      <c r="D510" s="1">
        <v>16858.38</v>
      </c>
      <c r="E510" s="1">
        <v>3328.380000000001</v>
      </c>
    </row>
    <row r="511" spans="1:5" x14ac:dyDescent="0.3">
      <c r="A511" s="25">
        <v>41640</v>
      </c>
      <c r="B511" s="21" t="s">
        <v>21</v>
      </c>
      <c r="C511" s="28" t="s">
        <v>15</v>
      </c>
      <c r="D511" s="1">
        <v>238609</v>
      </c>
      <c r="E511" s="1">
        <v>39449</v>
      </c>
    </row>
    <row r="512" spans="1:5" x14ac:dyDescent="0.3">
      <c r="A512" s="25">
        <v>41548</v>
      </c>
      <c r="B512" s="21" t="s">
        <v>30</v>
      </c>
      <c r="C512" s="28" t="s">
        <v>14</v>
      </c>
      <c r="D512" s="1">
        <v>53257.599999999999</v>
      </c>
      <c r="E512" s="1">
        <v>23337.599999999999</v>
      </c>
    </row>
    <row r="513" spans="1:5" x14ac:dyDescent="0.3">
      <c r="A513" s="25">
        <v>41974</v>
      </c>
      <c r="B513" s="21" t="s">
        <v>32</v>
      </c>
      <c r="C513" s="28" t="s">
        <v>15</v>
      </c>
      <c r="D513" s="1">
        <v>28795.95</v>
      </c>
      <c r="E513" s="1">
        <v>7225.9500000000007</v>
      </c>
    </row>
    <row r="514" spans="1:5" x14ac:dyDescent="0.3">
      <c r="A514" s="25">
        <v>41640</v>
      </c>
      <c r="B514" s="21" t="s">
        <v>21</v>
      </c>
      <c r="C514" s="28" t="s">
        <v>15</v>
      </c>
      <c r="D514" s="1">
        <v>233091</v>
      </c>
      <c r="E514" s="1">
        <v>14841</v>
      </c>
    </row>
    <row r="515" spans="1:5" x14ac:dyDescent="0.3">
      <c r="A515" s="25">
        <v>41699</v>
      </c>
      <c r="B515" s="21" t="s">
        <v>23</v>
      </c>
      <c r="C515" s="28" t="s">
        <v>15</v>
      </c>
      <c r="D515" s="1">
        <v>19971.599999999999</v>
      </c>
      <c r="E515" s="1">
        <v>8751.5999999999985</v>
      </c>
    </row>
    <row r="516" spans="1:5" x14ac:dyDescent="0.3">
      <c r="A516" s="25">
        <v>41821</v>
      </c>
      <c r="B516" s="21" t="s">
        <v>27</v>
      </c>
      <c r="C516" s="28" t="s">
        <v>15</v>
      </c>
      <c r="D516" s="1">
        <v>655551.75</v>
      </c>
      <c r="E516" s="1">
        <v>108381.75</v>
      </c>
    </row>
    <row r="517" spans="1:5" x14ac:dyDescent="0.3">
      <c r="A517" s="25">
        <v>41821</v>
      </c>
      <c r="B517" s="21" t="s">
        <v>27</v>
      </c>
      <c r="C517" s="28" t="s">
        <v>15</v>
      </c>
      <c r="D517" s="1">
        <v>42997.68</v>
      </c>
      <c r="E517" s="1">
        <v>30919.68</v>
      </c>
    </row>
    <row r="518" spans="1:5" x14ac:dyDescent="0.3">
      <c r="A518" s="25">
        <v>41821</v>
      </c>
      <c r="B518" s="21" t="s">
        <v>27</v>
      </c>
      <c r="C518" s="28" t="s">
        <v>15</v>
      </c>
      <c r="D518" s="1">
        <v>25904.340000000004</v>
      </c>
      <c r="E518" s="1">
        <v>18627.840000000004</v>
      </c>
    </row>
    <row r="519" spans="1:5" x14ac:dyDescent="0.3">
      <c r="A519" s="25">
        <v>41852</v>
      </c>
      <c r="B519" s="21" t="s">
        <v>28</v>
      </c>
      <c r="C519" s="28" t="s">
        <v>15</v>
      </c>
      <c r="D519" s="1">
        <v>42613.2</v>
      </c>
      <c r="E519" s="1">
        <v>18673.199999999997</v>
      </c>
    </row>
    <row r="520" spans="1:5" x14ac:dyDescent="0.3">
      <c r="A520" s="25">
        <v>41852</v>
      </c>
      <c r="B520" s="21" t="s">
        <v>28</v>
      </c>
      <c r="C520" s="28" t="s">
        <v>15</v>
      </c>
      <c r="D520" s="1">
        <v>26486.400000000001</v>
      </c>
      <c r="E520" s="1">
        <v>6646.4000000000015</v>
      </c>
    </row>
    <row r="521" spans="1:5" x14ac:dyDescent="0.3">
      <c r="A521" s="25">
        <v>41913</v>
      </c>
      <c r="B521" s="21" t="s">
        <v>30</v>
      </c>
      <c r="C521" s="28" t="s">
        <v>15</v>
      </c>
      <c r="D521" s="1">
        <v>271561.25</v>
      </c>
      <c r="E521" s="1">
        <v>-21358.75</v>
      </c>
    </row>
    <row r="522" spans="1:5" x14ac:dyDescent="0.3">
      <c r="A522" s="25">
        <v>41548</v>
      </c>
      <c r="B522" s="21" t="s">
        <v>30</v>
      </c>
      <c r="C522" s="28" t="s">
        <v>14</v>
      </c>
      <c r="D522" s="1">
        <v>53257.599999999999</v>
      </c>
      <c r="E522" s="1">
        <v>23337.599999999999</v>
      </c>
    </row>
    <row r="523" spans="1:5" x14ac:dyDescent="0.3">
      <c r="A523" s="25">
        <v>41944</v>
      </c>
      <c r="B523" s="21" t="s">
        <v>31</v>
      </c>
      <c r="C523" s="28" t="s">
        <v>15</v>
      </c>
      <c r="D523" s="1">
        <v>364722</v>
      </c>
      <c r="E523" s="1">
        <v>23222</v>
      </c>
    </row>
    <row r="524" spans="1:5" x14ac:dyDescent="0.3">
      <c r="A524" s="25">
        <v>41518</v>
      </c>
      <c r="B524" s="21" t="s">
        <v>29</v>
      </c>
      <c r="C524" s="28" t="s">
        <v>14</v>
      </c>
      <c r="D524" s="1">
        <v>49929</v>
      </c>
      <c r="E524" s="1">
        <v>21879</v>
      </c>
    </row>
    <row r="525" spans="1:5" x14ac:dyDescent="0.3">
      <c r="A525" s="25">
        <v>41518</v>
      </c>
      <c r="B525" s="21" t="s">
        <v>29</v>
      </c>
      <c r="C525" s="28" t="s">
        <v>14</v>
      </c>
      <c r="D525" s="1">
        <v>8744.25</v>
      </c>
      <c r="E525" s="1">
        <v>2194.25</v>
      </c>
    </row>
    <row r="526" spans="1:5" x14ac:dyDescent="0.3">
      <c r="A526" s="25">
        <v>41548</v>
      </c>
      <c r="B526" s="21" t="s">
        <v>30</v>
      </c>
      <c r="C526" s="28" t="s">
        <v>14</v>
      </c>
      <c r="D526" s="1">
        <v>107156</v>
      </c>
      <c r="E526" s="1">
        <v>17716</v>
      </c>
    </row>
    <row r="527" spans="1:5" x14ac:dyDescent="0.3">
      <c r="A527" s="25">
        <v>41944</v>
      </c>
      <c r="B527" s="21" t="s">
        <v>31</v>
      </c>
      <c r="C527" s="28" t="s">
        <v>15</v>
      </c>
      <c r="D527" s="1">
        <v>11263.84</v>
      </c>
      <c r="E527" s="1">
        <v>2223.84</v>
      </c>
    </row>
    <row r="528" spans="1:5" x14ac:dyDescent="0.3">
      <c r="A528" s="25">
        <v>41640</v>
      </c>
      <c r="B528" s="21" t="s">
        <v>21</v>
      </c>
      <c r="C528" s="28" t="s">
        <v>15</v>
      </c>
      <c r="D528" s="1">
        <v>18519.12</v>
      </c>
      <c r="E528" s="1">
        <v>13317.119999999999</v>
      </c>
    </row>
    <row r="529" spans="1:5" x14ac:dyDescent="0.3">
      <c r="A529" s="25">
        <v>41640</v>
      </c>
      <c r="B529" s="21" t="s">
        <v>21</v>
      </c>
      <c r="C529" s="28" t="s">
        <v>15</v>
      </c>
      <c r="D529" s="1">
        <v>61632.5</v>
      </c>
      <c r="E529" s="1">
        <v>-4847.5</v>
      </c>
    </row>
    <row r="530" spans="1:5" x14ac:dyDescent="0.3">
      <c r="A530" s="25">
        <v>41579</v>
      </c>
      <c r="B530" s="21" t="s">
        <v>31</v>
      </c>
      <c r="C530" s="28" t="s">
        <v>14</v>
      </c>
      <c r="D530" s="1">
        <v>52243</v>
      </c>
      <c r="E530" s="1">
        <v>22893</v>
      </c>
    </row>
    <row r="531" spans="1:5" x14ac:dyDescent="0.3">
      <c r="A531" s="25">
        <v>41640</v>
      </c>
      <c r="B531" s="21" t="s">
        <v>21</v>
      </c>
      <c r="C531" s="28" t="s">
        <v>15</v>
      </c>
      <c r="D531" s="1">
        <v>352106.25</v>
      </c>
      <c r="E531" s="1">
        <v>-27693.75</v>
      </c>
    </row>
    <row r="532" spans="1:5" x14ac:dyDescent="0.3">
      <c r="A532" s="25">
        <v>41640</v>
      </c>
      <c r="B532" s="21" t="s">
        <v>21</v>
      </c>
      <c r="C532" s="28" t="s">
        <v>15</v>
      </c>
      <c r="D532" s="1">
        <v>46796.2</v>
      </c>
      <c r="E532" s="1">
        <v>20506.199999999997</v>
      </c>
    </row>
    <row r="533" spans="1:5" x14ac:dyDescent="0.3">
      <c r="A533" s="25">
        <v>41760</v>
      </c>
      <c r="B533" s="21" t="s">
        <v>25</v>
      </c>
      <c r="C533" s="28" t="s">
        <v>15</v>
      </c>
      <c r="D533" s="1">
        <v>159421.25</v>
      </c>
      <c r="E533" s="1">
        <v>-12538.75</v>
      </c>
    </row>
    <row r="534" spans="1:5" x14ac:dyDescent="0.3">
      <c r="A534" s="25">
        <v>41518</v>
      </c>
      <c r="B534" s="21" t="s">
        <v>29</v>
      </c>
      <c r="C534" s="28" t="s">
        <v>14</v>
      </c>
      <c r="D534" s="1">
        <v>105353.75</v>
      </c>
      <c r="E534" s="1">
        <v>-8286.25</v>
      </c>
    </row>
    <row r="535" spans="1:5" x14ac:dyDescent="0.3">
      <c r="A535" s="25">
        <v>41548</v>
      </c>
      <c r="B535" s="21" t="s">
        <v>30</v>
      </c>
      <c r="C535" s="28" t="s">
        <v>14</v>
      </c>
      <c r="D535" s="1">
        <v>107156</v>
      </c>
      <c r="E535" s="1">
        <v>17716</v>
      </c>
    </row>
    <row r="536" spans="1:5" x14ac:dyDescent="0.3">
      <c r="A536" s="25">
        <v>41974</v>
      </c>
      <c r="B536" s="21" t="s">
        <v>32</v>
      </c>
      <c r="C536" s="28" t="s">
        <v>15</v>
      </c>
      <c r="D536" s="1">
        <v>28795.95</v>
      </c>
      <c r="E536" s="1">
        <v>7225.9500000000007</v>
      </c>
    </row>
    <row r="537" spans="1:5" x14ac:dyDescent="0.3">
      <c r="A537" s="25">
        <v>41518</v>
      </c>
      <c r="B537" s="21" t="s">
        <v>29</v>
      </c>
      <c r="C537" s="28" t="s">
        <v>14</v>
      </c>
      <c r="D537" s="1">
        <v>2367.4</v>
      </c>
      <c r="E537" s="1">
        <v>467.40000000000009</v>
      </c>
    </row>
    <row r="538" spans="1:5" x14ac:dyDescent="0.3">
      <c r="A538" s="25">
        <v>41791</v>
      </c>
      <c r="B538" s="21" t="s">
        <v>26</v>
      </c>
      <c r="C538" s="28" t="s">
        <v>15</v>
      </c>
      <c r="D538" s="1">
        <v>272888</v>
      </c>
      <c r="E538" s="1">
        <v>42528</v>
      </c>
    </row>
    <row r="539" spans="1:5" x14ac:dyDescent="0.3">
      <c r="A539" s="25">
        <v>41518</v>
      </c>
      <c r="B539" s="21" t="s">
        <v>29</v>
      </c>
      <c r="C539" s="28" t="s">
        <v>14</v>
      </c>
      <c r="D539" s="1">
        <v>265760</v>
      </c>
      <c r="E539" s="1">
        <v>-24160</v>
      </c>
    </row>
    <row r="540" spans="1:5" x14ac:dyDescent="0.3">
      <c r="A540" s="25">
        <v>41913</v>
      </c>
      <c r="B540" s="21" t="s">
        <v>30</v>
      </c>
      <c r="C540" s="28" t="s">
        <v>15</v>
      </c>
      <c r="D540" s="1">
        <v>237160</v>
      </c>
      <c r="E540" s="1">
        <v>-21560</v>
      </c>
    </row>
    <row r="541" spans="1:5" x14ac:dyDescent="0.3">
      <c r="A541" s="25">
        <v>41944</v>
      </c>
      <c r="B541" s="21" t="s">
        <v>31</v>
      </c>
      <c r="C541" s="28" t="s">
        <v>15</v>
      </c>
      <c r="D541" s="1">
        <v>35494.800000000003</v>
      </c>
      <c r="E541" s="1">
        <v>8604.8000000000029</v>
      </c>
    </row>
    <row r="542" spans="1:5" x14ac:dyDescent="0.3">
      <c r="A542" s="25">
        <v>41699</v>
      </c>
      <c r="B542" s="21" t="s">
        <v>23</v>
      </c>
      <c r="C542" s="28" t="s">
        <v>15</v>
      </c>
      <c r="D542" s="1">
        <v>8936.4</v>
      </c>
      <c r="E542" s="1">
        <v>2166.3999999999996</v>
      </c>
    </row>
    <row r="543" spans="1:5" x14ac:dyDescent="0.3">
      <c r="A543" s="25">
        <v>41730</v>
      </c>
      <c r="B543" s="21" t="s">
        <v>24</v>
      </c>
      <c r="C543" s="28" t="s">
        <v>15</v>
      </c>
      <c r="D543" s="1">
        <v>468072</v>
      </c>
      <c r="E543" s="1">
        <v>24822</v>
      </c>
    </row>
    <row r="544" spans="1:5" x14ac:dyDescent="0.3">
      <c r="A544" s="25">
        <v>41883</v>
      </c>
      <c r="B544" s="21" t="s">
        <v>29</v>
      </c>
      <c r="C544" s="28" t="s">
        <v>15</v>
      </c>
      <c r="D544" s="1">
        <v>14907.2</v>
      </c>
      <c r="E544" s="1">
        <v>2807.2000000000007</v>
      </c>
    </row>
    <row r="545" spans="1:5" x14ac:dyDescent="0.3">
      <c r="A545" s="25">
        <v>41913</v>
      </c>
      <c r="B545" s="21" t="s">
        <v>30</v>
      </c>
      <c r="C545" s="28" t="s">
        <v>15</v>
      </c>
      <c r="D545" s="1">
        <v>16841.439999999999</v>
      </c>
      <c r="E545" s="1">
        <v>3171.4399999999987</v>
      </c>
    </row>
    <row r="546" spans="1:5" x14ac:dyDescent="0.3">
      <c r="A546" s="25">
        <v>41548</v>
      </c>
      <c r="B546" s="21" t="s">
        <v>30</v>
      </c>
      <c r="C546" s="28" t="s">
        <v>14</v>
      </c>
      <c r="D546" s="1">
        <v>30184</v>
      </c>
      <c r="E546" s="1">
        <v>13034</v>
      </c>
    </row>
    <row r="547" spans="1:5" x14ac:dyDescent="0.3">
      <c r="A547" s="25">
        <v>41609</v>
      </c>
      <c r="B547" s="21" t="s">
        <v>32</v>
      </c>
      <c r="C547" s="28" t="s">
        <v>14</v>
      </c>
      <c r="D547" s="1">
        <v>313104</v>
      </c>
      <c r="E547" s="1">
        <v>16604</v>
      </c>
    </row>
    <row r="548" spans="1:5" x14ac:dyDescent="0.3">
      <c r="A548" s="25">
        <v>41640</v>
      </c>
      <c r="B548" s="21" t="s">
        <v>21</v>
      </c>
      <c r="C548" s="28" t="s">
        <v>15</v>
      </c>
      <c r="D548" s="1">
        <v>922680</v>
      </c>
      <c r="E548" s="1">
        <v>48930</v>
      </c>
    </row>
    <row r="549" spans="1:5" x14ac:dyDescent="0.3">
      <c r="A549" s="25">
        <v>41791</v>
      </c>
      <c r="B549" s="21" t="s">
        <v>26</v>
      </c>
      <c r="C549" s="28" t="s">
        <v>15</v>
      </c>
      <c r="D549" s="1">
        <v>272888</v>
      </c>
      <c r="E549" s="1">
        <v>42528</v>
      </c>
    </row>
    <row r="550" spans="1:5" x14ac:dyDescent="0.3">
      <c r="A550" s="25">
        <v>41913</v>
      </c>
      <c r="B550" s="21" t="s">
        <v>30</v>
      </c>
      <c r="C550" s="28" t="s">
        <v>15</v>
      </c>
      <c r="D550" s="1">
        <v>237160</v>
      </c>
      <c r="E550" s="1">
        <v>-21560</v>
      </c>
    </row>
    <row r="551" spans="1:5" x14ac:dyDescent="0.3">
      <c r="A551" s="25">
        <v>41913</v>
      </c>
      <c r="B551" s="21" t="s">
        <v>30</v>
      </c>
      <c r="C551" s="28" t="s">
        <v>15</v>
      </c>
      <c r="D551" s="1">
        <v>15928</v>
      </c>
      <c r="E551" s="1">
        <v>6878</v>
      </c>
    </row>
    <row r="552" spans="1:5" x14ac:dyDescent="0.3">
      <c r="A552" s="25">
        <v>41548</v>
      </c>
      <c r="B552" s="21" t="s">
        <v>30</v>
      </c>
      <c r="C552" s="28" t="s">
        <v>14</v>
      </c>
      <c r="D552" s="1">
        <v>30184</v>
      </c>
      <c r="E552" s="1">
        <v>13034</v>
      </c>
    </row>
    <row r="553" spans="1:5" x14ac:dyDescent="0.3">
      <c r="A553" s="25">
        <v>41944</v>
      </c>
      <c r="B553" s="21" t="s">
        <v>31</v>
      </c>
      <c r="C553" s="28" t="s">
        <v>15</v>
      </c>
      <c r="D553" s="1">
        <v>490952</v>
      </c>
      <c r="E553" s="1">
        <v>76512</v>
      </c>
    </row>
    <row r="554" spans="1:5" x14ac:dyDescent="0.3">
      <c r="A554" s="25">
        <v>41944</v>
      </c>
      <c r="B554" s="21" t="s">
        <v>31</v>
      </c>
      <c r="C554" s="28" t="s">
        <v>15</v>
      </c>
      <c r="D554" s="1">
        <v>358776</v>
      </c>
      <c r="E554" s="1">
        <v>19026</v>
      </c>
    </row>
    <row r="555" spans="1:5" x14ac:dyDescent="0.3">
      <c r="A555" s="25">
        <v>41944</v>
      </c>
      <c r="B555" s="21" t="s">
        <v>31</v>
      </c>
      <c r="C555" s="28" t="s">
        <v>15</v>
      </c>
      <c r="D555" s="1">
        <v>567600</v>
      </c>
      <c r="E555" s="1">
        <v>30100</v>
      </c>
    </row>
    <row r="556" spans="1:5" x14ac:dyDescent="0.3">
      <c r="A556" s="25">
        <v>41944</v>
      </c>
      <c r="B556" s="21" t="s">
        <v>31</v>
      </c>
      <c r="C556" s="28" t="s">
        <v>15</v>
      </c>
      <c r="D556" s="1">
        <v>368676</v>
      </c>
      <c r="E556" s="1">
        <v>57456</v>
      </c>
    </row>
    <row r="557" spans="1:5" x14ac:dyDescent="0.3">
      <c r="A557" s="25">
        <v>41609</v>
      </c>
      <c r="B557" s="21" t="s">
        <v>32</v>
      </c>
      <c r="C557" s="28" t="s">
        <v>14</v>
      </c>
      <c r="D557" s="1">
        <v>5016</v>
      </c>
      <c r="E557" s="1">
        <v>1216</v>
      </c>
    </row>
    <row r="558" spans="1:5" x14ac:dyDescent="0.3">
      <c r="A558" s="25">
        <v>41974</v>
      </c>
      <c r="B558" s="21" t="s">
        <v>32</v>
      </c>
      <c r="C558" s="28" t="s">
        <v>15</v>
      </c>
      <c r="D558" s="1">
        <v>21700.799999999999</v>
      </c>
      <c r="E558" s="1">
        <v>9370.7999999999993</v>
      </c>
    </row>
    <row r="559" spans="1:5" x14ac:dyDescent="0.3">
      <c r="A559" s="25">
        <v>41821</v>
      </c>
      <c r="B559" s="21" t="s">
        <v>27</v>
      </c>
      <c r="C559" s="28" t="s">
        <v>15</v>
      </c>
      <c r="D559" s="1">
        <v>429660</v>
      </c>
      <c r="E559" s="1">
        <v>66960</v>
      </c>
    </row>
    <row r="560" spans="1:5" x14ac:dyDescent="0.3">
      <c r="A560" s="25">
        <v>41913</v>
      </c>
      <c r="B560" s="21" t="s">
        <v>30</v>
      </c>
      <c r="C560" s="28" t="s">
        <v>15</v>
      </c>
      <c r="D560" s="1">
        <v>303688</v>
      </c>
      <c r="E560" s="1">
        <v>47328</v>
      </c>
    </row>
    <row r="561" spans="1:5" x14ac:dyDescent="0.3">
      <c r="A561" s="25">
        <v>41913</v>
      </c>
      <c r="B561" s="21" t="s">
        <v>30</v>
      </c>
      <c r="C561" s="28" t="s">
        <v>15</v>
      </c>
      <c r="D561" s="1">
        <v>15928</v>
      </c>
      <c r="E561" s="1">
        <v>6878</v>
      </c>
    </row>
    <row r="562" spans="1:5" x14ac:dyDescent="0.3">
      <c r="A562" s="25">
        <v>41760</v>
      </c>
      <c r="B562" s="21" t="s">
        <v>25</v>
      </c>
      <c r="C562" s="28" t="s">
        <v>15</v>
      </c>
      <c r="D562" s="1">
        <v>22271.040000000001</v>
      </c>
      <c r="E562" s="1">
        <v>15944.04</v>
      </c>
    </row>
    <row r="563" spans="1:5" x14ac:dyDescent="0.3">
      <c r="A563" s="25">
        <v>41821</v>
      </c>
      <c r="B563" s="21" t="s">
        <v>27</v>
      </c>
      <c r="C563" s="28" t="s">
        <v>15</v>
      </c>
      <c r="D563" s="1">
        <v>51143.399999999994</v>
      </c>
      <c r="E563" s="1">
        <v>12398.399999999998</v>
      </c>
    </row>
    <row r="564" spans="1:5" x14ac:dyDescent="0.3">
      <c r="A564" s="25">
        <v>41518</v>
      </c>
      <c r="B564" s="21" t="s">
        <v>29</v>
      </c>
      <c r="C564" s="28" t="s">
        <v>14</v>
      </c>
      <c r="D564" s="1">
        <v>191884</v>
      </c>
      <c r="E564" s="1">
        <v>29904</v>
      </c>
    </row>
    <row r="565" spans="1:5" x14ac:dyDescent="0.3">
      <c r="A565" s="25">
        <v>41913</v>
      </c>
      <c r="B565" s="21" t="s">
        <v>30</v>
      </c>
      <c r="C565" s="28" t="s">
        <v>15</v>
      </c>
      <c r="D565" s="1">
        <v>303688</v>
      </c>
      <c r="E565" s="1">
        <v>47328</v>
      </c>
    </row>
    <row r="566" spans="1:5" x14ac:dyDescent="0.3">
      <c r="A566" s="25">
        <v>41944</v>
      </c>
      <c r="B566" s="21" t="s">
        <v>31</v>
      </c>
      <c r="C566" s="28" t="s">
        <v>15</v>
      </c>
      <c r="D566" s="1">
        <v>262570</v>
      </c>
      <c r="E566" s="1">
        <v>-23870</v>
      </c>
    </row>
    <row r="567" spans="1:5" x14ac:dyDescent="0.3">
      <c r="A567" s="25">
        <v>41974</v>
      </c>
      <c r="B567" s="21" t="s">
        <v>32</v>
      </c>
      <c r="C567" s="28" t="s">
        <v>15</v>
      </c>
      <c r="D567" s="1">
        <v>21700.799999999999</v>
      </c>
      <c r="E567" s="1">
        <v>9370.7999999999993</v>
      </c>
    </row>
    <row r="568" spans="1:5" x14ac:dyDescent="0.3">
      <c r="A568" s="25">
        <v>41671</v>
      </c>
      <c r="B568" s="21" t="s">
        <v>22</v>
      </c>
      <c r="C568" s="28" t="s">
        <v>15</v>
      </c>
      <c r="D568" s="1">
        <v>83160</v>
      </c>
      <c r="E568" s="1">
        <v>12960</v>
      </c>
    </row>
    <row r="569" spans="1:5" x14ac:dyDescent="0.3">
      <c r="A569" s="25">
        <v>41821</v>
      </c>
      <c r="B569" s="21" t="s">
        <v>27</v>
      </c>
      <c r="C569" s="28" t="s">
        <v>15</v>
      </c>
      <c r="D569" s="1">
        <v>21076.44</v>
      </c>
      <c r="E569" s="1">
        <v>3968.9399999999987</v>
      </c>
    </row>
    <row r="570" spans="1:5" x14ac:dyDescent="0.3">
      <c r="A570" s="25">
        <v>41913</v>
      </c>
      <c r="B570" s="21" t="s">
        <v>30</v>
      </c>
      <c r="C570" s="28" t="s">
        <v>15</v>
      </c>
      <c r="D570" s="1">
        <v>16841.439999999999</v>
      </c>
      <c r="E570" s="1">
        <v>3171.4399999999987</v>
      </c>
    </row>
    <row r="571" spans="1:5" x14ac:dyDescent="0.3">
      <c r="A571" s="25">
        <v>41579</v>
      </c>
      <c r="B571" s="21" t="s">
        <v>31</v>
      </c>
      <c r="C571" s="28" t="s">
        <v>14</v>
      </c>
      <c r="D571" s="1">
        <v>33633.599999999999</v>
      </c>
      <c r="E571" s="1">
        <v>8153.5999999999985</v>
      </c>
    </row>
    <row r="572" spans="1:5" x14ac:dyDescent="0.3">
      <c r="A572" s="25">
        <v>41640</v>
      </c>
      <c r="B572" s="21" t="s">
        <v>21</v>
      </c>
      <c r="C572" s="28" t="s">
        <v>15</v>
      </c>
      <c r="D572" s="1">
        <v>44378.399999999994</v>
      </c>
      <c r="E572" s="1">
        <v>19163.399999999998</v>
      </c>
    </row>
    <row r="573" spans="1:5" x14ac:dyDescent="0.3">
      <c r="A573" s="25">
        <v>41760</v>
      </c>
      <c r="B573" s="21" t="s">
        <v>25</v>
      </c>
      <c r="C573" s="28" t="s">
        <v>15</v>
      </c>
      <c r="D573" s="1">
        <v>28100.16</v>
      </c>
      <c r="E573" s="1">
        <v>20117.16</v>
      </c>
    </row>
    <row r="574" spans="1:5" x14ac:dyDescent="0.3">
      <c r="A574" s="25">
        <v>41974</v>
      </c>
      <c r="B574" s="21" t="s">
        <v>32</v>
      </c>
      <c r="C574" s="28" t="s">
        <v>15</v>
      </c>
      <c r="D574" s="1">
        <v>26945.599999999999</v>
      </c>
      <c r="E574" s="1">
        <v>11635.599999999999</v>
      </c>
    </row>
    <row r="575" spans="1:5" x14ac:dyDescent="0.3">
      <c r="A575" s="25">
        <v>41699</v>
      </c>
      <c r="B575" s="21" t="s">
        <v>23</v>
      </c>
      <c r="C575" s="28" t="s">
        <v>15</v>
      </c>
      <c r="D575" s="1">
        <v>9184.56</v>
      </c>
      <c r="E575" s="1">
        <v>1729.5599999999995</v>
      </c>
    </row>
    <row r="576" spans="1:5" x14ac:dyDescent="0.3">
      <c r="A576" s="25">
        <v>41974</v>
      </c>
      <c r="B576" s="21" t="s">
        <v>32</v>
      </c>
      <c r="C576" s="28" t="s">
        <v>15</v>
      </c>
      <c r="D576" s="1">
        <v>26945.599999999999</v>
      </c>
      <c r="E576" s="1">
        <v>11635.599999999999</v>
      </c>
    </row>
    <row r="577" spans="1:5" x14ac:dyDescent="0.3">
      <c r="A577" s="25">
        <v>41518</v>
      </c>
      <c r="B577" s="21" t="s">
        <v>29</v>
      </c>
      <c r="C577" s="28" t="s">
        <v>14</v>
      </c>
      <c r="D577" s="1">
        <v>29156.16</v>
      </c>
      <c r="E577" s="1">
        <v>20873.16</v>
      </c>
    </row>
    <row r="578" spans="1:5" x14ac:dyDescent="0.3">
      <c r="A578" s="25">
        <v>41791</v>
      </c>
      <c r="B578" s="21" t="s">
        <v>26</v>
      </c>
      <c r="C578" s="28" t="s">
        <v>15</v>
      </c>
      <c r="D578" s="1">
        <v>33499.35</v>
      </c>
      <c r="E578" s="1">
        <v>7829.3499999999985</v>
      </c>
    </row>
    <row r="579" spans="1:5" x14ac:dyDescent="0.3">
      <c r="A579" s="25">
        <v>41791</v>
      </c>
      <c r="B579" s="21" t="s">
        <v>26</v>
      </c>
      <c r="C579" s="28" t="s">
        <v>15</v>
      </c>
      <c r="D579" s="1">
        <v>33499.35</v>
      </c>
      <c r="E579" s="1">
        <v>7829.3499999999985</v>
      </c>
    </row>
    <row r="580" spans="1:5" x14ac:dyDescent="0.3">
      <c r="A580" s="25">
        <v>41699</v>
      </c>
      <c r="B580" s="21" t="s">
        <v>23</v>
      </c>
      <c r="C580" s="28" t="s">
        <v>15</v>
      </c>
      <c r="D580" s="1">
        <v>281053.5</v>
      </c>
      <c r="E580" s="1">
        <v>41073.5</v>
      </c>
    </row>
    <row r="581" spans="1:5" x14ac:dyDescent="0.3">
      <c r="A581" s="25">
        <v>41699</v>
      </c>
      <c r="B581" s="21" t="s">
        <v>23</v>
      </c>
      <c r="C581" s="28" t="s">
        <v>15</v>
      </c>
      <c r="D581" s="1">
        <v>545055</v>
      </c>
      <c r="E581" s="1">
        <v>79655</v>
      </c>
    </row>
    <row r="582" spans="1:5" x14ac:dyDescent="0.3">
      <c r="A582" s="25">
        <v>41518</v>
      </c>
      <c r="B582" s="21" t="s">
        <v>29</v>
      </c>
      <c r="C582" s="28" t="s">
        <v>14</v>
      </c>
      <c r="D582" s="1">
        <v>7690.8</v>
      </c>
      <c r="E582" s="1">
        <v>3270.8</v>
      </c>
    </row>
    <row r="583" spans="1:5" x14ac:dyDescent="0.3">
      <c r="A583" s="25">
        <v>41640</v>
      </c>
      <c r="B583" s="21" t="s">
        <v>21</v>
      </c>
      <c r="C583" s="28" t="s">
        <v>15</v>
      </c>
      <c r="D583" s="1">
        <v>299171.25</v>
      </c>
      <c r="E583" s="1">
        <v>43721.25</v>
      </c>
    </row>
    <row r="584" spans="1:5" x14ac:dyDescent="0.3">
      <c r="A584" s="25">
        <v>41671</v>
      </c>
      <c r="B584" s="21" t="s">
        <v>22</v>
      </c>
      <c r="C584" s="28" t="s">
        <v>15</v>
      </c>
      <c r="D584" s="1">
        <v>7904.82</v>
      </c>
      <c r="E584" s="1">
        <v>1414.8199999999997</v>
      </c>
    </row>
    <row r="585" spans="1:5" x14ac:dyDescent="0.3">
      <c r="A585" s="25">
        <v>41791</v>
      </c>
      <c r="B585" s="21" t="s">
        <v>26</v>
      </c>
      <c r="C585" s="28" t="s">
        <v>15</v>
      </c>
      <c r="D585" s="1">
        <v>6305.76</v>
      </c>
      <c r="E585" s="1">
        <v>4493.76</v>
      </c>
    </row>
    <row r="586" spans="1:5" x14ac:dyDescent="0.3">
      <c r="A586" s="25">
        <v>41821</v>
      </c>
      <c r="B586" s="21" t="s">
        <v>27</v>
      </c>
      <c r="C586" s="28" t="s">
        <v>15</v>
      </c>
      <c r="D586" s="1">
        <v>39237</v>
      </c>
      <c r="E586" s="1">
        <v>16687</v>
      </c>
    </row>
    <row r="587" spans="1:5" x14ac:dyDescent="0.3">
      <c r="A587" s="25">
        <v>41913</v>
      </c>
      <c r="B587" s="21" t="s">
        <v>30</v>
      </c>
      <c r="C587" s="28" t="s">
        <v>15</v>
      </c>
      <c r="D587" s="1">
        <v>21732.6</v>
      </c>
      <c r="E587" s="1">
        <v>9242.5999999999985</v>
      </c>
    </row>
    <row r="588" spans="1:5" x14ac:dyDescent="0.3">
      <c r="A588" s="25">
        <v>41640</v>
      </c>
      <c r="B588" s="21" t="s">
        <v>21</v>
      </c>
      <c r="C588" s="28" t="s">
        <v>15</v>
      </c>
      <c r="D588" s="1">
        <v>8760.4650000000001</v>
      </c>
      <c r="E588" s="1">
        <v>1567.9649999999992</v>
      </c>
    </row>
    <row r="589" spans="1:5" x14ac:dyDescent="0.3">
      <c r="A589" s="25">
        <v>41640</v>
      </c>
      <c r="B589" s="21" t="s">
        <v>21</v>
      </c>
      <c r="C589" s="28" t="s">
        <v>15</v>
      </c>
      <c r="D589" s="1">
        <v>210627</v>
      </c>
      <c r="E589" s="1">
        <v>8877</v>
      </c>
    </row>
    <row r="590" spans="1:5" x14ac:dyDescent="0.3">
      <c r="A590" s="25">
        <v>41671</v>
      </c>
      <c r="B590" s="21" t="s">
        <v>22</v>
      </c>
      <c r="C590" s="28" t="s">
        <v>15</v>
      </c>
      <c r="D590" s="1">
        <v>45953.4</v>
      </c>
      <c r="E590" s="1">
        <v>19543.400000000001</v>
      </c>
    </row>
    <row r="591" spans="1:5" x14ac:dyDescent="0.3">
      <c r="A591" s="25">
        <v>41671</v>
      </c>
      <c r="B591" s="21" t="s">
        <v>22</v>
      </c>
      <c r="C591" s="28" t="s">
        <v>15</v>
      </c>
      <c r="D591" s="1">
        <v>47119.199999999997</v>
      </c>
      <c r="E591" s="1">
        <v>20039.199999999997</v>
      </c>
    </row>
    <row r="592" spans="1:5" x14ac:dyDescent="0.3">
      <c r="A592" s="25">
        <v>41791</v>
      </c>
      <c r="B592" s="21" t="s">
        <v>26</v>
      </c>
      <c r="C592" s="28" t="s">
        <v>15</v>
      </c>
      <c r="D592" s="1">
        <v>801444</v>
      </c>
      <c r="E592" s="1">
        <v>117124</v>
      </c>
    </row>
    <row r="593" spans="1:5" x14ac:dyDescent="0.3">
      <c r="A593" s="25">
        <v>41791</v>
      </c>
      <c r="B593" s="21" t="s">
        <v>26</v>
      </c>
      <c r="C593" s="28" t="s">
        <v>15</v>
      </c>
      <c r="D593" s="1">
        <v>172151.25</v>
      </c>
      <c r="E593" s="1">
        <v>-17808.75</v>
      </c>
    </row>
    <row r="594" spans="1:5" x14ac:dyDescent="0.3">
      <c r="A594" s="25">
        <v>41821</v>
      </c>
      <c r="B594" s="21" t="s">
        <v>27</v>
      </c>
      <c r="C594" s="28" t="s">
        <v>15</v>
      </c>
      <c r="D594" s="1">
        <v>5961.24</v>
      </c>
      <c r="E594" s="1">
        <v>4248.24</v>
      </c>
    </row>
    <row r="595" spans="1:5" x14ac:dyDescent="0.3">
      <c r="A595" s="25">
        <v>41852</v>
      </c>
      <c r="B595" s="21" t="s">
        <v>28</v>
      </c>
      <c r="C595" s="28" t="s">
        <v>15</v>
      </c>
      <c r="D595" s="1">
        <v>16418.64</v>
      </c>
      <c r="E595" s="1">
        <v>2938.6399999999994</v>
      </c>
    </row>
    <row r="596" spans="1:5" x14ac:dyDescent="0.3">
      <c r="A596" s="25">
        <v>41913</v>
      </c>
      <c r="B596" s="21" t="s">
        <v>30</v>
      </c>
      <c r="C596" s="28" t="s">
        <v>15</v>
      </c>
      <c r="D596" s="1">
        <v>20423.25</v>
      </c>
      <c r="E596" s="1">
        <v>4773.25</v>
      </c>
    </row>
    <row r="597" spans="1:5" x14ac:dyDescent="0.3">
      <c r="A597" s="25">
        <v>41913</v>
      </c>
      <c r="B597" s="21" t="s">
        <v>30</v>
      </c>
      <c r="C597" s="28" t="s">
        <v>15</v>
      </c>
      <c r="D597" s="1">
        <v>21732.6</v>
      </c>
      <c r="E597" s="1">
        <v>9242.5999999999985</v>
      </c>
    </row>
    <row r="598" spans="1:5" x14ac:dyDescent="0.3">
      <c r="A598" s="25">
        <v>41944</v>
      </c>
      <c r="B598" s="21" t="s">
        <v>31</v>
      </c>
      <c r="C598" s="28" t="s">
        <v>15</v>
      </c>
      <c r="D598" s="1">
        <v>108706.5</v>
      </c>
      <c r="E598" s="1">
        <v>15886.5</v>
      </c>
    </row>
    <row r="599" spans="1:5" x14ac:dyDescent="0.3">
      <c r="A599" s="25">
        <v>41974</v>
      </c>
      <c r="B599" s="21" t="s">
        <v>32</v>
      </c>
      <c r="C599" s="28" t="s">
        <v>15</v>
      </c>
      <c r="D599" s="1">
        <v>10575.72</v>
      </c>
      <c r="E599" s="1">
        <v>7536.7199999999993</v>
      </c>
    </row>
    <row r="600" spans="1:5" x14ac:dyDescent="0.3">
      <c r="A600" s="25">
        <v>41640</v>
      </c>
      <c r="B600" s="21" t="s">
        <v>21</v>
      </c>
      <c r="C600" s="28" t="s">
        <v>15</v>
      </c>
      <c r="D600" s="1">
        <v>52167.375</v>
      </c>
      <c r="E600" s="1">
        <v>12192.375</v>
      </c>
    </row>
    <row r="601" spans="1:5" x14ac:dyDescent="0.3">
      <c r="A601" s="25">
        <v>41791</v>
      </c>
      <c r="B601" s="21" t="s">
        <v>26</v>
      </c>
      <c r="C601" s="28" t="s">
        <v>15</v>
      </c>
      <c r="D601" s="1">
        <v>801444</v>
      </c>
      <c r="E601" s="1">
        <v>117124</v>
      </c>
    </row>
    <row r="602" spans="1:5" x14ac:dyDescent="0.3">
      <c r="A602" s="25">
        <v>41791</v>
      </c>
      <c r="B602" s="21" t="s">
        <v>26</v>
      </c>
      <c r="C602" s="28" t="s">
        <v>15</v>
      </c>
      <c r="D602" s="1">
        <v>7247.1</v>
      </c>
      <c r="E602" s="1">
        <v>1297.1000000000004</v>
      </c>
    </row>
    <row r="603" spans="1:5" x14ac:dyDescent="0.3">
      <c r="A603" s="25">
        <v>41791</v>
      </c>
      <c r="B603" s="21" t="s">
        <v>26</v>
      </c>
      <c r="C603" s="28" t="s">
        <v>15</v>
      </c>
      <c r="D603" s="1">
        <v>6305.76</v>
      </c>
      <c r="E603" s="1">
        <v>4493.76</v>
      </c>
    </row>
    <row r="604" spans="1:5" x14ac:dyDescent="0.3">
      <c r="A604" s="25">
        <v>41518</v>
      </c>
      <c r="B604" s="21" t="s">
        <v>29</v>
      </c>
      <c r="C604" s="28" t="s">
        <v>14</v>
      </c>
      <c r="D604" s="1">
        <v>8613</v>
      </c>
      <c r="E604" s="1">
        <v>2013</v>
      </c>
    </row>
    <row r="605" spans="1:5" x14ac:dyDescent="0.3">
      <c r="A605" s="25">
        <v>41913</v>
      </c>
      <c r="B605" s="21" t="s">
        <v>30</v>
      </c>
      <c r="C605" s="28" t="s">
        <v>15</v>
      </c>
      <c r="D605" s="1">
        <v>4280.3999999999996</v>
      </c>
      <c r="E605" s="1">
        <v>3050.3999999999996</v>
      </c>
    </row>
    <row r="606" spans="1:5" x14ac:dyDescent="0.3">
      <c r="A606" s="25">
        <v>41579</v>
      </c>
      <c r="B606" s="21" t="s">
        <v>31</v>
      </c>
      <c r="C606" s="28" t="s">
        <v>14</v>
      </c>
      <c r="D606" s="1">
        <v>679905</v>
      </c>
      <c r="E606" s="1">
        <v>28655</v>
      </c>
    </row>
    <row r="607" spans="1:5" x14ac:dyDescent="0.3">
      <c r="A607" s="25">
        <v>41974</v>
      </c>
      <c r="B607" s="21" t="s">
        <v>32</v>
      </c>
      <c r="C607" s="28" t="s">
        <v>15</v>
      </c>
      <c r="D607" s="1">
        <v>10575.72</v>
      </c>
      <c r="E607" s="1">
        <v>7536.7199999999993</v>
      </c>
    </row>
    <row r="608" spans="1:5" x14ac:dyDescent="0.3">
      <c r="A608" s="25">
        <v>41791</v>
      </c>
      <c r="B608" s="21" t="s">
        <v>26</v>
      </c>
      <c r="C608" s="28" t="s">
        <v>15</v>
      </c>
      <c r="D608" s="1">
        <v>172151.25</v>
      </c>
      <c r="E608" s="1">
        <v>-17808.75</v>
      </c>
    </row>
    <row r="609" spans="1:5" x14ac:dyDescent="0.3">
      <c r="A609" s="25">
        <v>41913</v>
      </c>
      <c r="B609" s="21" t="s">
        <v>30</v>
      </c>
      <c r="C609" s="28" t="s">
        <v>15</v>
      </c>
      <c r="D609" s="1">
        <v>20423.25</v>
      </c>
      <c r="E609" s="1">
        <v>4773.25</v>
      </c>
    </row>
    <row r="610" spans="1:5" x14ac:dyDescent="0.3">
      <c r="A610" s="25">
        <v>41640</v>
      </c>
      <c r="B610" s="21" t="s">
        <v>21</v>
      </c>
      <c r="C610" s="28" t="s">
        <v>15</v>
      </c>
      <c r="D610" s="1">
        <v>180416.25</v>
      </c>
      <c r="E610" s="1">
        <v>-18663.75</v>
      </c>
    </row>
    <row r="611" spans="1:5" x14ac:dyDescent="0.3">
      <c r="A611" s="25">
        <v>41791</v>
      </c>
      <c r="B611" s="21" t="s">
        <v>26</v>
      </c>
      <c r="C611" s="28" t="s">
        <v>15</v>
      </c>
      <c r="D611" s="1">
        <v>7247.1</v>
      </c>
      <c r="E611" s="1">
        <v>1297.1000000000004</v>
      </c>
    </row>
    <row r="612" spans="1:5" x14ac:dyDescent="0.3">
      <c r="A612" s="25">
        <v>41913</v>
      </c>
      <c r="B612" s="21" t="s">
        <v>30</v>
      </c>
      <c r="C612" s="28" t="s">
        <v>15</v>
      </c>
      <c r="D612" s="1">
        <v>4280.3999999999996</v>
      </c>
      <c r="E612" s="1">
        <v>3050.3999999999996</v>
      </c>
    </row>
    <row r="613" spans="1:5" x14ac:dyDescent="0.3">
      <c r="A613" s="25">
        <v>41609</v>
      </c>
      <c r="B613" s="21" t="s">
        <v>32</v>
      </c>
      <c r="C613" s="28" t="s">
        <v>14</v>
      </c>
      <c r="D613" s="1">
        <v>18478.8</v>
      </c>
      <c r="E613" s="1">
        <v>13168.8</v>
      </c>
    </row>
    <row r="614" spans="1:5" x14ac:dyDescent="0.3">
      <c r="A614" s="25">
        <v>41730</v>
      </c>
      <c r="B614" s="21" t="s">
        <v>24</v>
      </c>
      <c r="C614" s="28" t="s">
        <v>15</v>
      </c>
      <c r="D614" s="1">
        <v>44358.8</v>
      </c>
      <c r="E614" s="1">
        <v>18568.800000000003</v>
      </c>
    </row>
    <row r="615" spans="1:5" x14ac:dyDescent="0.3">
      <c r="A615" s="25">
        <v>41760</v>
      </c>
      <c r="B615" s="21" t="s">
        <v>25</v>
      </c>
      <c r="C615" s="28" t="s">
        <v>15</v>
      </c>
      <c r="D615" s="1">
        <v>29979.599999999999</v>
      </c>
      <c r="E615" s="1">
        <v>12549.599999999999</v>
      </c>
    </row>
    <row r="616" spans="1:5" x14ac:dyDescent="0.3">
      <c r="A616" s="25">
        <v>41548</v>
      </c>
      <c r="B616" s="21" t="s">
        <v>30</v>
      </c>
      <c r="C616" s="28" t="s">
        <v>14</v>
      </c>
      <c r="D616" s="1">
        <v>18035.919999999998</v>
      </c>
      <c r="E616" s="1">
        <v>3055.9199999999983</v>
      </c>
    </row>
    <row r="617" spans="1:5" x14ac:dyDescent="0.3">
      <c r="A617" s="25">
        <v>41974</v>
      </c>
      <c r="B617" s="21" t="s">
        <v>32</v>
      </c>
      <c r="C617" s="28" t="s">
        <v>15</v>
      </c>
      <c r="D617" s="1">
        <v>1685.6</v>
      </c>
      <c r="E617" s="1">
        <v>285.59999999999991</v>
      </c>
    </row>
    <row r="618" spans="1:5" x14ac:dyDescent="0.3">
      <c r="A618" s="25">
        <v>41671</v>
      </c>
      <c r="B618" s="21" t="s">
        <v>22</v>
      </c>
      <c r="C618" s="28" t="s">
        <v>15</v>
      </c>
      <c r="D618" s="1">
        <v>1763.8600000000001</v>
      </c>
      <c r="E618" s="1">
        <v>298.86000000000013</v>
      </c>
    </row>
    <row r="619" spans="1:5" x14ac:dyDescent="0.3">
      <c r="A619" s="25">
        <v>41548</v>
      </c>
      <c r="B619" s="21" t="s">
        <v>30</v>
      </c>
      <c r="C619" s="28" t="s">
        <v>14</v>
      </c>
      <c r="D619" s="1">
        <v>18035.919999999998</v>
      </c>
      <c r="E619" s="1">
        <v>3055.9199999999983</v>
      </c>
    </row>
    <row r="620" spans="1:5" x14ac:dyDescent="0.3">
      <c r="A620" s="25">
        <v>41671</v>
      </c>
      <c r="B620" s="21" t="s">
        <v>22</v>
      </c>
      <c r="C620" s="28" t="s">
        <v>15</v>
      </c>
      <c r="D620" s="1">
        <v>3586.2</v>
      </c>
      <c r="E620" s="1">
        <v>806.19999999999982</v>
      </c>
    </row>
    <row r="621" spans="1:5" x14ac:dyDescent="0.3">
      <c r="A621" s="25">
        <v>41699</v>
      </c>
      <c r="B621" s="21" t="s">
        <v>23</v>
      </c>
      <c r="C621" s="28" t="s">
        <v>15</v>
      </c>
      <c r="D621" s="1">
        <v>41761.599999999999</v>
      </c>
      <c r="E621" s="1">
        <v>17481.599999999999</v>
      </c>
    </row>
    <row r="622" spans="1:5" x14ac:dyDescent="0.3">
      <c r="A622" s="25">
        <v>41883</v>
      </c>
      <c r="B622" s="21" t="s">
        <v>29</v>
      </c>
      <c r="C622" s="28" t="s">
        <v>15</v>
      </c>
      <c r="D622" s="1">
        <v>22794.3</v>
      </c>
      <c r="E622" s="1">
        <v>5124.2999999999993</v>
      </c>
    </row>
    <row r="623" spans="1:5" x14ac:dyDescent="0.3">
      <c r="A623" s="25">
        <v>41913</v>
      </c>
      <c r="B623" s="21" t="s">
        <v>30</v>
      </c>
      <c r="C623" s="28" t="s">
        <v>15</v>
      </c>
      <c r="D623" s="1">
        <v>14375.76</v>
      </c>
      <c r="E623" s="1">
        <v>10196.76</v>
      </c>
    </row>
    <row r="624" spans="1:5" x14ac:dyDescent="0.3">
      <c r="A624" s="25">
        <v>41974</v>
      </c>
      <c r="B624" s="21" t="s">
        <v>32</v>
      </c>
      <c r="C624" s="28" t="s">
        <v>15</v>
      </c>
      <c r="D624" s="1">
        <v>1685.6</v>
      </c>
      <c r="E624" s="1">
        <v>285.59999999999991</v>
      </c>
    </row>
    <row r="625" spans="1:5" x14ac:dyDescent="0.3">
      <c r="A625" s="25">
        <v>41913</v>
      </c>
      <c r="B625" s="21" t="s">
        <v>30</v>
      </c>
      <c r="C625" s="28" t="s">
        <v>15</v>
      </c>
      <c r="D625" s="1">
        <v>14375.76</v>
      </c>
      <c r="E625" s="1">
        <v>10196.76</v>
      </c>
    </row>
    <row r="626" spans="1:5" x14ac:dyDescent="0.3">
      <c r="A626" s="25">
        <v>41609</v>
      </c>
      <c r="B626" s="21" t="s">
        <v>32</v>
      </c>
      <c r="C626" s="28" t="s">
        <v>14</v>
      </c>
      <c r="D626" s="1">
        <v>20794.8</v>
      </c>
      <c r="E626" s="1">
        <v>14749.8</v>
      </c>
    </row>
    <row r="627" spans="1:5" x14ac:dyDescent="0.3">
      <c r="A627" s="25">
        <v>41821</v>
      </c>
      <c r="B627" s="21" t="s">
        <v>27</v>
      </c>
      <c r="C627" s="28" t="s">
        <v>15</v>
      </c>
      <c r="D627" s="1">
        <v>206658</v>
      </c>
      <c r="E627" s="1">
        <v>6408</v>
      </c>
    </row>
    <row r="628" spans="1:5" x14ac:dyDescent="0.3">
      <c r="A628" s="25">
        <v>41518</v>
      </c>
      <c r="B628" s="21" t="s">
        <v>29</v>
      </c>
      <c r="C628" s="28" t="s">
        <v>14</v>
      </c>
      <c r="D628" s="1">
        <v>109972.5</v>
      </c>
      <c r="E628" s="1">
        <v>-12787.5</v>
      </c>
    </row>
    <row r="629" spans="1:5" x14ac:dyDescent="0.3">
      <c r="A629" s="25">
        <v>41913</v>
      </c>
      <c r="B629" s="21" t="s">
        <v>30</v>
      </c>
      <c r="C629" s="28" t="s">
        <v>15</v>
      </c>
      <c r="D629" s="1">
        <v>385968</v>
      </c>
      <c r="E629" s="1">
        <v>11968</v>
      </c>
    </row>
    <row r="630" spans="1:5" x14ac:dyDescent="0.3">
      <c r="A630" s="25">
        <v>41913</v>
      </c>
      <c r="B630" s="21" t="s">
        <v>30</v>
      </c>
      <c r="C630" s="28" t="s">
        <v>15</v>
      </c>
      <c r="D630" s="1">
        <v>260580</v>
      </c>
      <c r="E630" s="1">
        <v>8080</v>
      </c>
    </row>
    <row r="631" spans="1:5" x14ac:dyDescent="0.3">
      <c r="A631" s="25">
        <v>41944</v>
      </c>
      <c r="B631" s="21" t="s">
        <v>31</v>
      </c>
      <c r="C631" s="28" t="s">
        <v>15</v>
      </c>
      <c r="D631" s="1">
        <v>19517.7</v>
      </c>
      <c r="E631" s="1">
        <v>4387.7000000000007</v>
      </c>
    </row>
    <row r="632" spans="1:5" x14ac:dyDescent="0.3">
      <c r="A632" s="25">
        <v>41974</v>
      </c>
      <c r="B632" s="21" t="s">
        <v>32</v>
      </c>
      <c r="C632" s="28" t="s">
        <v>15</v>
      </c>
      <c r="D632" s="1">
        <v>29670</v>
      </c>
      <c r="E632" s="1">
        <v>6670</v>
      </c>
    </row>
    <row r="633" spans="1:5" x14ac:dyDescent="0.3">
      <c r="A633" s="25">
        <v>41609</v>
      </c>
      <c r="B633" s="21" t="s">
        <v>32</v>
      </c>
      <c r="C633" s="28" t="s">
        <v>14</v>
      </c>
      <c r="D633" s="1">
        <v>303257.5</v>
      </c>
      <c r="E633" s="1">
        <v>-35262.5</v>
      </c>
    </row>
    <row r="634" spans="1:5" x14ac:dyDescent="0.3">
      <c r="A634" s="25">
        <v>41640</v>
      </c>
      <c r="B634" s="21" t="s">
        <v>21</v>
      </c>
      <c r="C634" s="28" t="s">
        <v>15</v>
      </c>
      <c r="D634" s="1">
        <v>670477.5</v>
      </c>
      <c r="E634" s="1">
        <v>91327.5</v>
      </c>
    </row>
    <row r="635" spans="1:5" x14ac:dyDescent="0.3">
      <c r="A635" s="25">
        <v>41730</v>
      </c>
      <c r="B635" s="21" t="s">
        <v>24</v>
      </c>
      <c r="C635" s="28" t="s">
        <v>15</v>
      </c>
      <c r="D635" s="1">
        <v>360899</v>
      </c>
      <c r="E635" s="1">
        <v>49159</v>
      </c>
    </row>
    <row r="636" spans="1:5" x14ac:dyDescent="0.3">
      <c r="A636" s="25">
        <v>41760</v>
      </c>
      <c r="B636" s="21" t="s">
        <v>25</v>
      </c>
      <c r="C636" s="28" t="s">
        <v>15</v>
      </c>
      <c r="D636" s="1">
        <v>60200</v>
      </c>
      <c r="E636" s="1">
        <v>8200</v>
      </c>
    </row>
    <row r="637" spans="1:5" x14ac:dyDescent="0.3">
      <c r="A637" s="25">
        <v>41883</v>
      </c>
      <c r="B637" s="21" t="s">
        <v>29</v>
      </c>
      <c r="C637" s="28" t="s">
        <v>15</v>
      </c>
      <c r="D637" s="1">
        <v>2335.7600000000002</v>
      </c>
      <c r="E637" s="1">
        <v>395.76000000000022</v>
      </c>
    </row>
    <row r="638" spans="1:5" x14ac:dyDescent="0.3">
      <c r="A638" s="25">
        <v>41548</v>
      </c>
      <c r="B638" s="21" t="s">
        <v>30</v>
      </c>
      <c r="C638" s="28" t="s">
        <v>14</v>
      </c>
      <c r="D638" s="1">
        <v>10396.540000000001</v>
      </c>
      <c r="E638" s="1">
        <v>1761.5400000000009</v>
      </c>
    </row>
    <row r="639" spans="1:5" x14ac:dyDescent="0.3">
      <c r="A639" s="25">
        <v>41974</v>
      </c>
      <c r="B639" s="21" t="s">
        <v>32</v>
      </c>
      <c r="C639" s="28" t="s">
        <v>15</v>
      </c>
      <c r="D639" s="1">
        <v>29670</v>
      </c>
      <c r="E639" s="1">
        <v>6670</v>
      </c>
    </row>
    <row r="640" spans="1:5" x14ac:dyDescent="0.3">
      <c r="A640" s="25">
        <v>41671</v>
      </c>
      <c r="B640" s="21" t="s">
        <v>22</v>
      </c>
      <c r="C640" s="28" t="s">
        <v>15</v>
      </c>
      <c r="D640" s="1">
        <v>4472</v>
      </c>
      <c r="E640" s="1">
        <v>1872</v>
      </c>
    </row>
    <row r="641" spans="1:5" x14ac:dyDescent="0.3">
      <c r="A641" s="25">
        <v>41518</v>
      </c>
      <c r="B641" s="21" t="s">
        <v>29</v>
      </c>
      <c r="C641" s="28" t="s">
        <v>14</v>
      </c>
      <c r="D641" s="1">
        <v>31863</v>
      </c>
      <c r="E641" s="1">
        <v>7163</v>
      </c>
    </row>
    <row r="642" spans="1:5" x14ac:dyDescent="0.3">
      <c r="A642" s="25">
        <v>41548</v>
      </c>
      <c r="B642" s="21" t="s">
        <v>30</v>
      </c>
      <c r="C642" s="28" t="s">
        <v>14</v>
      </c>
      <c r="D642" s="1">
        <v>22484.7</v>
      </c>
      <c r="E642" s="1">
        <v>5054.7000000000007</v>
      </c>
    </row>
    <row r="643" spans="1:5" x14ac:dyDescent="0.3">
      <c r="A643" s="25">
        <v>41913</v>
      </c>
      <c r="B643" s="21" t="s">
        <v>30</v>
      </c>
      <c r="C643" s="28" t="s">
        <v>15</v>
      </c>
      <c r="D643" s="1">
        <v>30072.48</v>
      </c>
      <c r="E643" s="1">
        <v>21330.48</v>
      </c>
    </row>
    <row r="644" spans="1:5" x14ac:dyDescent="0.3">
      <c r="A644" s="25">
        <v>41913</v>
      </c>
      <c r="B644" s="21" t="s">
        <v>30</v>
      </c>
      <c r="C644" s="28" t="s">
        <v>15</v>
      </c>
      <c r="D644" s="1">
        <v>10420.619999999999</v>
      </c>
      <c r="E644" s="1">
        <v>1765.619999999999</v>
      </c>
    </row>
    <row r="645" spans="1:5" x14ac:dyDescent="0.3">
      <c r="A645" s="25">
        <v>41944</v>
      </c>
      <c r="B645" s="21" t="s">
        <v>31</v>
      </c>
      <c r="C645" s="28" t="s">
        <v>15</v>
      </c>
      <c r="D645" s="1">
        <v>210700</v>
      </c>
      <c r="E645" s="1">
        <v>28700</v>
      </c>
    </row>
    <row r="646" spans="1:5" x14ac:dyDescent="0.3">
      <c r="A646" s="25">
        <v>41579</v>
      </c>
      <c r="B646" s="21" t="s">
        <v>31</v>
      </c>
      <c r="C646" s="28" t="s">
        <v>14</v>
      </c>
      <c r="D646" s="1">
        <v>22931.040000000001</v>
      </c>
      <c r="E646" s="1">
        <v>16265.04</v>
      </c>
    </row>
    <row r="647" spans="1:5" x14ac:dyDescent="0.3">
      <c r="A647" s="25">
        <v>41944</v>
      </c>
      <c r="B647" s="21" t="s">
        <v>31</v>
      </c>
      <c r="C647" s="28" t="s">
        <v>15</v>
      </c>
      <c r="D647" s="1">
        <v>354277</v>
      </c>
      <c r="E647" s="1">
        <v>48257</v>
      </c>
    </row>
    <row r="648" spans="1:5" x14ac:dyDescent="0.3">
      <c r="A648" s="25">
        <v>41579</v>
      </c>
      <c r="B648" s="21" t="s">
        <v>31</v>
      </c>
      <c r="C648" s="28" t="s">
        <v>14</v>
      </c>
      <c r="D648" s="1">
        <v>578522</v>
      </c>
      <c r="E648" s="1">
        <v>78802</v>
      </c>
    </row>
    <row r="649" spans="1:5" x14ac:dyDescent="0.3">
      <c r="A649" s="25">
        <v>41671</v>
      </c>
      <c r="B649" s="21" t="s">
        <v>22</v>
      </c>
      <c r="C649" s="28" t="s">
        <v>15</v>
      </c>
      <c r="D649" s="1">
        <v>169312.5</v>
      </c>
      <c r="E649" s="1">
        <v>-19687.5</v>
      </c>
    </row>
    <row r="650" spans="1:5" x14ac:dyDescent="0.3">
      <c r="A650" s="25">
        <v>41730</v>
      </c>
      <c r="B650" s="21" t="s">
        <v>24</v>
      </c>
      <c r="C650" s="28" t="s">
        <v>15</v>
      </c>
      <c r="D650" s="1">
        <v>10423.200000000001</v>
      </c>
      <c r="E650" s="1">
        <v>4363.2000000000007</v>
      </c>
    </row>
    <row r="651" spans="1:5" x14ac:dyDescent="0.3">
      <c r="A651" s="25">
        <v>41821</v>
      </c>
      <c r="B651" s="21" t="s">
        <v>27</v>
      </c>
      <c r="C651" s="28" t="s">
        <v>15</v>
      </c>
      <c r="D651" s="1">
        <v>634680</v>
      </c>
      <c r="E651" s="1">
        <v>19680</v>
      </c>
    </row>
    <row r="652" spans="1:5" x14ac:dyDescent="0.3">
      <c r="A652" s="25">
        <v>41548</v>
      </c>
      <c r="B652" s="21" t="s">
        <v>30</v>
      </c>
      <c r="C652" s="28" t="s">
        <v>14</v>
      </c>
      <c r="D652" s="1">
        <v>69402</v>
      </c>
      <c r="E652" s="1">
        <v>2152</v>
      </c>
    </row>
    <row r="653" spans="1:5" x14ac:dyDescent="0.3">
      <c r="A653" s="25">
        <v>41579</v>
      </c>
      <c r="B653" s="21" t="s">
        <v>31</v>
      </c>
      <c r="C653" s="28" t="s">
        <v>14</v>
      </c>
      <c r="D653" s="1">
        <v>654288</v>
      </c>
      <c r="E653" s="1">
        <v>20288</v>
      </c>
    </row>
    <row r="654" spans="1:5" x14ac:dyDescent="0.3">
      <c r="A654" s="25">
        <v>41699</v>
      </c>
      <c r="B654" s="21" t="s">
        <v>23</v>
      </c>
      <c r="C654" s="28" t="s">
        <v>15</v>
      </c>
      <c r="D654" s="1">
        <v>17476.060000000001</v>
      </c>
      <c r="E654" s="1">
        <v>2961.0600000000013</v>
      </c>
    </row>
    <row r="655" spans="1:5" x14ac:dyDescent="0.3">
      <c r="A655" s="25">
        <v>41852</v>
      </c>
      <c r="B655" s="21" t="s">
        <v>28</v>
      </c>
      <c r="C655" s="28" t="s">
        <v>15</v>
      </c>
      <c r="D655" s="1">
        <v>655578</v>
      </c>
      <c r="E655" s="1">
        <v>20328</v>
      </c>
    </row>
    <row r="656" spans="1:5" x14ac:dyDescent="0.3">
      <c r="A656" s="25">
        <v>41548</v>
      </c>
      <c r="B656" s="21" t="s">
        <v>30</v>
      </c>
      <c r="C656" s="28" t="s">
        <v>14</v>
      </c>
      <c r="D656" s="1">
        <v>69402</v>
      </c>
      <c r="E656" s="1">
        <v>2152</v>
      </c>
    </row>
    <row r="657" spans="1:5" x14ac:dyDescent="0.3">
      <c r="A657" s="25">
        <v>41913</v>
      </c>
      <c r="B657" s="21" t="s">
        <v>30</v>
      </c>
      <c r="C657" s="28" t="s">
        <v>15</v>
      </c>
      <c r="D657" s="1">
        <v>385968</v>
      </c>
      <c r="E657" s="1">
        <v>11968</v>
      </c>
    </row>
    <row r="658" spans="1:5" x14ac:dyDescent="0.3">
      <c r="A658" s="25">
        <v>41913</v>
      </c>
      <c r="B658" s="21" t="s">
        <v>30</v>
      </c>
      <c r="C658" s="28" t="s">
        <v>15</v>
      </c>
      <c r="D658" s="1">
        <v>260580</v>
      </c>
      <c r="E658" s="1">
        <v>8080</v>
      </c>
    </row>
    <row r="659" spans="1:5" x14ac:dyDescent="0.3">
      <c r="A659" s="25">
        <v>41609</v>
      </c>
      <c r="B659" s="21" t="s">
        <v>32</v>
      </c>
      <c r="C659" s="28" t="s">
        <v>14</v>
      </c>
      <c r="D659" s="1">
        <v>385581</v>
      </c>
      <c r="E659" s="1">
        <v>52521</v>
      </c>
    </row>
    <row r="660" spans="1:5" x14ac:dyDescent="0.3">
      <c r="A660" s="25">
        <v>41699</v>
      </c>
      <c r="B660" s="21" t="s">
        <v>23</v>
      </c>
      <c r="C660" s="28" t="s">
        <v>15</v>
      </c>
      <c r="D660" s="1">
        <v>229104</v>
      </c>
      <c r="E660" s="1">
        <v>7104</v>
      </c>
    </row>
    <row r="661" spans="1:5" x14ac:dyDescent="0.3">
      <c r="A661" s="25">
        <v>41760</v>
      </c>
      <c r="B661" s="21" t="s">
        <v>25</v>
      </c>
      <c r="C661" s="28" t="s">
        <v>15</v>
      </c>
      <c r="D661" s="1">
        <v>305730</v>
      </c>
      <c r="E661" s="1">
        <v>-35550</v>
      </c>
    </row>
    <row r="662" spans="1:5" x14ac:dyDescent="0.3">
      <c r="A662" s="25">
        <v>41852</v>
      </c>
      <c r="B662" s="21" t="s">
        <v>28</v>
      </c>
      <c r="C662" s="28" t="s">
        <v>15</v>
      </c>
      <c r="D662" s="1">
        <v>25542</v>
      </c>
      <c r="E662" s="1">
        <v>18117</v>
      </c>
    </row>
    <row r="663" spans="1:5" x14ac:dyDescent="0.3">
      <c r="A663" s="25">
        <v>41548</v>
      </c>
      <c r="B663" s="21" t="s">
        <v>30</v>
      </c>
      <c r="C663" s="28" t="s">
        <v>14</v>
      </c>
      <c r="D663" s="1">
        <v>22484.7</v>
      </c>
      <c r="E663" s="1">
        <v>5054.7000000000007</v>
      </c>
    </row>
    <row r="664" spans="1:5" x14ac:dyDescent="0.3">
      <c r="A664" s="25">
        <v>41913</v>
      </c>
      <c r="B664" s="21" t="s">
        <v>30</v>
      </c>
      <c r="C664" s="28" t="s">
        <v>15</v>
      </c>
      <c r="D664" s="1">
        <v>30072.48</v>
      </c>
      <c r="E664" s="1">
        <v>21330.48</v>
      </c>
    </row>
    <row r="665" spans="1:5" x14ac:dyDescent="0.3">
      <c r="A665" s="25">
        <v>41913</v>
      </c>
      <c r="B665" s="21" t="s">
        <v>30</v>
      </c>
      <c r="C665" s="28" t="s">
        <v>15</v>
      </c>
      <c r="D665" s="1">
        <v>10420.619999999999</v>
      </c>
      <c r="E665" s="1">
        <v>1765.619999999999</v>
      </c>
    </row>
    <row r="666" spans="1:5" x14ac:dyDescent="0.3">
      <c r="A666" s="25">
        <v>41548</v>
      </c>
      <c r="B666" s="21" t="s">
        <v>30</v>
      </c>
      <c r="C666" s="28" t="s">
        <v>14</v>
      </c>
      <c r="D666" s="1">
        <v>10396.540000000001</v>
      </c>
      <c r="E666" s="1">
        <v>1761.5400000000009</v>
      </c>
    </row>
    <row r="667" spans="1:5" x14ac:dyDescent="0.3">
      <c r="A667" s="25">
        <v>41579</v>
      </c>
      <c r="B667" s="21" t="s">
        <v>31</v>
      </c>
      <c r="C667" s="28" t="s">
        <v>14</v>
      </c>
      <c r="D667" s="1">
        <v>24123</v>
      </c>
      <c r="E667" s="1">
        <v>5423</v>
      </c>
    </row>
    <row r="668" spans="1:5" x14ac:dyDescent="0.3">
      <c r="A668" s="25">
        <v>41852</v>
      </c>
      <c r="B668" s="21" t="s">
        <v>28</v>
      </c>
      <c r="C668" s="28" t="s">
        <v>15</v>
      </c>
      <c r="D668" s="1">
        <v>124737.5</v>
      </c>
      <c r="E668" s="1">
        <v>-16142.5</v>
      </c>
    </row>
    <row r="669" spans="1:5" x14ac:dyDescent="0.3">
      <c r="A669" s="25">
        <v>41852</v>
      </c>
      <c r="B669" s="21" t="s">
        <v>28</v>
      </c>
      <c r="C669" s="28" t="s">
        <v>15</v>
      </c>
      <c r="D669" s="1">
        <v>293993.75</v>
      </c>
      <c r="E669" s="1">
        <v>-38046.25</v>
      </c>
    </row>
    <row r="670" spans="1:5" x14ac:dyDescent="0.3">
      <c r="A670" s="25">
        <v>41913</v>
      </c>
      <c r="B670" s="21" t="s">
        <v>30</v>
      </c>
      <c r="C670" s="28" t="s">
        <v>15</v>
      </c>
      <c r="D670" s="1">
        <v>115281.25</v>
      </c>
      <c r="E670" s="1">
        <v>-14918.75</v>
      </c>
    </row>
    <row r="671" spans="1:5" x14ac:dyDescent="0.3">
      <c r="A671" s="25">
        <v>41913</v>
      </c>
      <c r="B671" s="21" t="s">
        <v>30</v>
      </c>
      <c r="C671" s="28" t="s">
        <v>15</v>
      </c>
      <c r="D671" s="1">
        <v>139230</v>
      </c>
      <c r="E671" s="1">
        <v>2730</v>
      </c>
    </row>
    <row r="672" spans="1:5" x14ac:dyDescent="0.3">
      <c r="A672" s="25">
        <v>41699</v>
      </c>
      <c r="B672" s="21" t="s">
        <v>23</v>
      </c>
      <c r="C672" s="28" t="s">
        <v>15</v>
      </c>
      <c r="D672" s="1">
        <v>19686</v>
      </c>
      <c r="E672" s="1">
        <v>8106</v>
      </c>
    </row>
    <row r="673" spans="1:5" x14ac:dyDescent="0.3">
      <c r="A673" s="25">
        <v>41730</v>
      </c>
      <c r="B673" s="21" t="s">
        <v>24</v>
      </c>
      <c r="C673" s="28" t="s">
        <v>15</v>
      </c>
      <c r="D673" s="1">
        <v>20578.5</v>
      </c>
      <c r="E673" s="1">
        <v>4438.5</v>
      </c>
    </row>
    <row r="674" spans="1:5" x14ac:dyDescent="0.3">
      <c r="A674" s="25">
        <v>41730</v>
      </c>
      <c r="B674" s="21" t="s">
        <v>24</v>
      </c>
      <c r="C674" s="28" t="s">
        <v>15</v>
      </c>
      <c r="D674" s="1">
        <v>15083.25</v>
      </c>
      <c r="E674" s="1">
        <v>2408.25</v>
      </c>
    </row>
    <row r="675" spans="1:5" x14ac:dyDescent="0.3">
      <c r="A675" s="25">
        <v>41760</v>
      </c>
      <c r="B675" s="21" t="s">
        <v>25</v>
      </c>
      <c r="C675" s="28" t="s">
        <v>15</v>
      </c>
      <c r="D675" s="1">
        <v>848172.5</v>
      </c>
      <c r="E675" s="1">
        <v>106912.5</v>
      </c>
    </row>
    <row r="676" spans="1:5" x14ac:dyDescent="0.3">
      <c r="A676" s="25">
        <v>41852</v>
      </c>
      <c r="B676" s="21" t="s">
        <v>28</v>
      </c>
      <c r="C676" s="28" t="s">
        <v>15</v>
      </c>
      <c r="D676" s="1">
        <v>32627.25</v>
      </c>
      <c r="E676" s="1">
        <v>7037.25</v>
      </c>
    </row>
    <row r="677" spans="1:5" x14ac:dyDescent="0.3">
      <c r="A677" s="25">
        <v>41548</v>
      </c>
      <c r="B677" s="21" t="s">
        <v>30</v>
      </c>
      <c r="C677" s="28" t="s">
        <v>14</v>
      </c>
      <c r="D677" s="1">
        <v>4539</v>
      </c>
      <c r="E677" s="1">
        <v>1869</v>
      </c>
    </row>
    <row r="678" spans="1:5" x14ac:dyDescent="0.3">
      <c r="A678" s="25">
        <v>41913</v>
      </c>
      <c r="B678" s="21" t="s">
        <v>30</v>
      </c>
      <c r="C678" s="28" t="s">
        <v>15</v>
      </c>
      <c r="D678" s="1">
        <v>115281.25</v>
      </c>
      <c r="E678" s="1">
        <v>-14918.75</v>
      </c>
    </row>
    <row r="679" spans="1:5" x14ac:dyDescent="0.3">
      <c r="A679" s="25">
        <v>41913</v>
      </c>
      <c r="B679" s="21" t="s">
        <v>30</v>
      </c>
      <c r="C679" s="28" t="s">
        <v>15</v>
      </c>
      <c r="D679" s="1">
        <v>14981.25</v>
      </c>
      <c r="E679" s="1">
        <v>3231.25</v>
      </c>
    </row>
    <row r="680" spans="1:5" x14ac:dyDescent="0.3">
      <c r="A680" s="25">
        <v>41579</v>
      </c>
      <c r="B680" s="21" t="s">
        <v>31</v>
      </c>
      <c r="C680" s="28" t="s">
        <v>14</v>
      </c>
      <c r="D680" s="1">
        <v>597082.5</v>
      </c>
      <c r="E680" s="1">
        <v>75262.5</v>
      </c>
    </row>
    <row r="681" spans="1:5" x14ac:dyDescent="0.3">
      <c r="A681" s="25">
        <v>41579</v>
      </c>
      <c r="B681" s="21" t="s">
        <v>31</v>
      </c>
      <c r="C681" s="28" t="s">
        <v>14</v>
      </c>
      <c r="D681" s="1">
        <v>639922.5</v>
      </c>
      <c r="E681" s="1">
        <v>80662.5</v>
      </c>
    </row>
    <row r="682" spans="1:5" x14ac:dyDescent="0.3">
      <c r="A682" s="25">
        <v>41974</v>
      </c>
      <c r="B682" s="21" t="s">
        <v>32</v>
      </c>
      <c r="C682" s="28" t="s">
        <v>15</v>
      </c>
      <c r="D682" s="1">
        <v>9322.7999999999993</v>
      </c>
      <c r="E682" s="1">
        <v>6580.7999999999993</v>
      </c>
    </row>
    <row r="683" spans="1:5" x14ac:dyDescent="0.3">
      <c r="A683" s="25">
        <v>41974</v>
      </c>
      <c r="B683" s="21" t="s">
        <v>32</v>
      </c>
      <c r="C683" s="28" t="s">
        <v>15</v>
      </c>
      <c r="D683" s="1">
        <v>4981</v>
      </c>
      <c r="E683" s="1">
        <v>2051</v>
      </c>
    </row>
    <row r="684" spans="1:5" x14ac:dyDescent="0.3">
      <c r="A684" s="25">
        <v>41699</v>
      </c>
      <c r="B684" s="21" t="s">
        <v>23</v>
      </c>
      <c r="C684" s="28" t="s">
        <v>15</v>
      </c>
      <c r="D684" s="1">
        <v>5100</v>
      </c>
      <c r="E684" s="1">
        <v>3600</v>
      </c>
    </row>
    <row r="685" spans="1:5" x14ac:dyDescent="0.3">
      <c r="A685" s="25">
        <v>41760</v>
      </c>
      <c r="B685" s="21" t="s">
        <v>25</v>
      </c>
      <c r="C685" s="28" t="s">
        <v>15</v>
      </c>
      <c r="D685" s="1">
        <v>36031.5</v>
      </c>
      <c r="E685" s="1">
        <v>7771.5</v>
      </c>
    </row>
    <row r="686" spans="1:5" x14ac:dyDescent="0.3">
      <c r="A686" s="25">
        <v>41883</v>
      </c>
      <c r="B686" s="21" t="s">
        <v>29</v>
      </c>
      <c r="C686" s="28" t="s">
        <v>15</v>
      </c>
      <c r="D686" s="1">
        <v>70443.75</v>
      </c>
      <c r="E686" s="1">
        <v>-9116.25</v>
      </c>
    </row>
    <row r="687" spans="1:5" x14ac:dyDescent="0.3">
      <c r="A687" s="25">
        <v>41579</v>
      </c>
      <c r="B687" s="21" t="s">
        <v>31</v>
      </c>
      <c r="C687" s="28" t="s">
        <v>14</v>
      </c>
      <c r="D687" s="1">
        <v>656370</v>
      </c>
      <c r="E687" s="1">
        <v>12870</v>
      </c>
    </row>
    <row r="688" spans="1:5" x14ac:dyDescent="0.3">
      <c r="A688" s="25">
        <v>41609</v>
      </c>
      <c r="B688" s="21" t="s">
        <v>32</v>
      </c>
      <c r="C688" s="28" t="s">
        <v>14</v>
      </c>
      <c r="D688" s="1">
        <v>259037.5</v>
      </c>
      <c r="E688" s="1">
        <v>-33522.5</v>
      </c>
    </row>
    <row r="689" spans="1:5" x14ac:dyDescent="0.3">
      <c r="A689" s="25">
        <v>41974</v>
      </c>
      <c r="B689" s="21" t="s">
        <v>32</v>
      </c>
      <c r="C689" s="28" t="s">
        <v>15</v>
      </c>
      <c r="D689" s="1">
        <v>9322.7999999999993</v>
      </c>
      <c r="E689" s="1">
        <v>6580.7999999999993</v>
      </c>
    </row>
    <row r="690" spans="1:5" x14ac:dyDescent="0.3">
      <c r="A690" s="25">
        <v>41821</v>
      </c>
      <c r="B690" s="21" t="s">
        <v>27</v>
      </c>
      <c r="C690" s="28" t="s">
        <v>15</v>
      </c>
      <c r="D690" s="1">
        <v>14713.5</v>
      </c>
      <c r="E690" s="1">
        <v>6058.5</v>
      </c>
    </row>
    <row r="691" spans="1:5" x14ac:dyDescent="0.3">
      <c r="A691" s="25">
        <v>41821</v>
      </c>
      <c r="B691" s="21" t="s">
        <v>27</v>
      </c>
      <c r="C691" s="28" t="s">
        <v>15</v>
      </c>
      <c r="D691" s="1">
        <v>6273</v>
      </c>
      <c r="E691" s="1">
        <v>1353</v>
      </c>
    </row>
    <row r="692" spans="1:5" x14ac:dyDescent="0.3">
      <c r="A692" s="25">
        <v>41548</v>
      </c>
      <c r="B692" s="21" t="s">
        <v>30</v>
      </c>
      <c r="C692" s="28" t="s">
        <v>14</v>
      </c>
      <c r="D692" s="1">
        <v>4539</v>
      </c>
      <c r="E692" s="1">
        <v>1869</v>
      </c>
    </row>
    <row r="693" spans="1:5" x14ac:dyDescent="0.3">
      <c r="A693" s="25">
        <v>41913</v>
      </c>
      <c r="B693" s="21" t="s">
        <v>30</v>
      </c>
      <c r="C693" s="28" t="s">
        <v>15</v>
      </c>
      <c r="D693" s="1">
        <v>14981.25</v>
      </c>
      <c r="E693" s="1">
        <v>3231.25</v>
      </c>
    </row>
    <row r="694" spans="1:5" x14ac:dyDescent="0.3">
      <c r="A694" s="25">
        <v>41579</v>
      </c>
      <c r="B694" s="21" t="s">
        <v>31</v>
      </c>
      <c r="C694" s="28" t="s">
        <v>14</v>
      </c>
      <c r="D694" s="1">
        <v>313862.5</v>
      </c>
      <c r="E694" s="1">
        <v>-40617.5</v>
      </c>
    </row>
    <row r="695" spans="1:5" x14ac:dyDescent="0.3">
      <c r="A695" s="25">
        <v>41944</v>
      </c>
      <c r="B695" s="21" t="s">
        <v>31</v>
      </c>
      <c r="C695" s="28" t="s">
        <v>15</v>
      </c>
      <c r="D695" s="1">
        <v>58650</v>
      </c>
      <c r="E695" s="1">
        <v>-7590</v>
      </c>
    </row>
    <row r="696" spans="1:5" x14ac:dyDescent="0.3">
      <c r="A696" s="25">
        <v>41974</v>
      </c>
      <c r="B696" s="21" t="s">
        <v>32</v>
      </c>
      <c r="C696" s="28" t="s">
        <v>15</v>
      </c>
      <c r="D696" s="1">
        <v>4981</v>
      </c>
      <c r="E696" s="1">
        <v>2051</v>
      </c>
    </row>
    <row r="697" spans="1:5" x14ac:dyDescent="0.3">
      <c r="A697" s="25">
        <v>41699</v>
      </c>
      <c r="B697" s="21" t="s">
        <v>23</v>
      </c>
      <c r="C697" s="28" t="s">
        <v>15</v>
      </c>
      <c r="D697" s="1">
        <v>631125</v>
      </c>
      <c r="E697" s="1">
        <v>12375</v>
      </c>
    </row>
    <row r="698" spans="1:5" x14ac:dyDescent="0.3">
      <c r="A698" s="25">
        <v>41913</v>
      </c>
      <c r="B698" s="21" t="s">
        <v>30</v>
      </c>
      <c r="C698" s="28" t="s">
        <v>15</v>
      </c>
      <c r="D698" s="1">
        <v>139230</v>
      </c>
      <c r="E698" s="1">
        <v>2730</v>
      </c>
    </row>
    <row r="699" spans="1:5" x14ac:dyDescent="0.3">
      <c r="A699" s="25">
        <v>41671</v>
      </c>
      <c r="B699" s="21" t="s">
        <v>22</v>
      </c>
      <c r="C699" s="28" t="s">
        <v>15</v>
      </c>
      <c r="D699" s="1">
        <v>8139.6</v>
      </c>
      <c r="E699" s="1">
        <v>1299.6000000000004</v>
      </c>
    </row>
    <row r="700" spans="1:5" x14ac:dyDescent="0.3">
      <c r="A700" s="25">
        <v>41730</v>
      </c>
      <c r="B700" s="21" t="s">
        <v>24</v>
      </c>
      <c r="C700" s="28" t="s">
        <v>15</v>
      </c>
      <c r="D700" s="1">
        <v>4301.8500000000004</v>
      </c>
      <c r="E700" s="1">
        <v>686.85000000000014</v>
      </c>
    </row>
    <row r="701" spans="1:5" x14ac:dyDescent="0.3">
      <c r="A701" s="26">
        <v>41760</v>
      </c>
      <c r="B701" s="22" t="s">
        <v>25</v>
      </c>
      <c r="C701" s="29" t="s">
        <v>15</v>
      </c>
      <c r="D701" s="1">
        <v>18421.2</v>
      </c>
      <c r="E701" s="1">
        <v>13003.2</v>
      </c>
    </row>
  </sheetData>
  <conditionalFormatting sqref="B20">
    <cfRule type="cellIs" dxfId="0" priority="1" operator="equal">
      <formula>" 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Statistical Analysis</vt:lpstr>
      <vt:lpstr>Graphical Analysis</vt:lpstr>
      <vt:lpstr>Sactter plot data</vt:lpstr>
      <vt:lpstr>Histogram Bins</vt:lpstr>
      <vt:lpstr>Heat Map Data</vt:lpstr>
      <vt:lpstr>Year wise sales &amp; profits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MAHIDHAR</cp:lastModifiedBy>
  <dcterms:created xsi:type="dcterms:W3CDTF">2014-01-28T02:45:41Z</dcterms:created>
  <dcterms:modified xsi:type="dcterms:W3CDTF">2025-01-29T13:59:41Z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